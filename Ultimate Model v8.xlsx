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6006369\Documents\Privat\"/>
    </mc:Choice>
  </mc:AlternateContent>
  <xr:revisionPtr revIDLastSave="0" documentId="8_{A0CF6171-5439-425B-BC62-450C9F0BB275}" xr6:coauthVersionLast="47" xr6:coauthVersionMax="47" xr10:uidLastSave="{00000000-0000-0000-0000-000000000000}"/>
  <bookViews>
    <workbookView xWindow="-120" yWindow="-120" windowWidth="29040" windowHeight="15990" tabRatio="802" xr2:uid="{9D516065-96BA-4E52-88AF-2299B189666D}"/>
  </bookViews>
  <sheets>
    <sheet name="Parameters" sheetId="1" r:id="rId1"/>
    <sheet name="Box 3 model -&gt;&gt;&gt;" sheetId="18" r:id="rId2"/>
    <sheet name="Box_3" sheetId="16" r:id="rId3"/>
    <sheet name="Box 2 model -&gt;&gt;&gt;" sheetId="12" r:id="rId4"/>
    <sheet name="BV en Box 2" sheetId="3" r:id="rId5"/>
  </sheets>
  <definedNames>
    <definedName name="b3_cash_fiction">Parameters!$C$21</definedName>
    <definedName name="b3_current_franchise">Parameters!$C$22</definedName>
    <definedName name="b3_fiction">Parameters!$C$20</definedName>
    <definedName name="b3_future_franchise">Parameters!$G$22</definedName>
    <definedName name="b3_rate_current">Parameters!$C$19</definedName>
    <definedName name="b3_rate_future">Parameters!$G$19</definedName>
    <definedName name="bonds_par">Parameters!$C$11</definedName>
    <definedName name="bonds_start">Parameters!$C$10</definedName>
    <definedName name="box2_1">Parameters!$C$25</definedName>
    <definedName name="box2_2">Parameters!$C$26</definedName>
    <definedName name="box2_cutover">Parameters!$G$25</definedName>
    <definedName name="cash_start">Parameters!$C$15</definedName>
    <definedName name="cash_yield">Parameters!$G$15</definedName>
    <definedName name="coupon">Parameters!$G$10</definedName>
    <definedName name="dividend">Parameters!$G$7</definedName>
    <definedName name="draw_down">Parameters!$C$37</definedName>
    <definedName name="draw_down_date">Parameters!$C$38</definedName>
    <definedName name="equity_start">Parameters!$C$6</definedName>
    <definedName name="growth_rate">Parameters!$G$6</definedName>
    <definedName name="hoelang">Parameters!$C$36</definedName>
    <definedName name="inflation">Parameters!$C$34</definedName>
    <definedName name="maturity">Parameters!#REF!</definedName>
    <definedName name="mtm">Parameters!$C$29</definedName>
    <definedName name="prop_start">Parameters!$C$13</definedName>
    <definedName name="prop_yield">Parameters!$G$13</definedName>
    <definedName name="property_start">Parameters!#REF!</definedName>
    <definedName name="regime_change">Parameters!$G$20</definedName>
    <definedName name="reinvest_bonds">Parameters!$G$11</definedName>
    <definedName name="reinvest_equity">Parameters!$G$8</definedName>
    <definedName name="reinvestment_mix">Parameters!$C$33</definedName>
    <definedName name="rent">Parameters!#REF!</definedName>
    <definedName name="spaarrente">Parameters!#REF!</definedName>
    <definedName name="vpb_1">Parameters!$C$27</definedName>
    <definedName name="vpb_2">Parameters!$C$28</definedName>
    <definedName name="vpb_cutover">Parameters!$G$27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6" l="1"/>
  <c r="I8" i="16" s="1"/>
  <c r="P8" i="16" s="1"/>
  <c r="F8" i="3"/>
  <c r="J8" i="3" s="1"/>
  <c r="Q8" i="3" s="1"/>
  <c r="G8" i="16"/>
  <c r="E8" i="3"/>
  <c r="I8" i="3" s="1"/>
  <c r="P8" i="3" s="1"/>
  <c r="F8" i="16"/>
  <c r="K8" i="16" s="1"/>
  <c r="R8" i="16" s="1"/>
  <c r="E8" i="16"/>
  <c r="J8" i="16" s="1"/>
  <c r="Q8" i="16" s="1"/>
  <c r="L8" i="16" l="1"/>
  <c r="S8" i="16" s="1"/>
  <c r="E9" i="3"/>
  <c r="K9" i="16"/>
  <c r="K10" i="16" s="1"/>
  <c r="K11" i="16" s="1"/>
  <c r="R11" i="16" s="1"/>
  <c r="E9" i="16"/>
  <c r="F9" i="16"/>
  <c r="H8" i="16"/>
  <c r="C8" i="16"/>
  <c r="T8" i="16" s="1"/>
  <c r="F10" i="16" l="1"/>
  <c r="K12" i="16"/>
  <c r="R12" i="16" s="1"/>
  <c r="R10" i="16"/>
  <c r="I9" i="3"/>
  <c r="P9" i="3" s="1"/>
  <c r="E10" i="3"/>
  <c r="R9" i="16"/>
  <c r="E10" i="16"/>
  <c r="J9" i="16"/>
  <c r="Q9" i="16" s="1"/>
  <c r="M8" i="16"/>
  <c r="N8" i="16" s="1"/>
  <c r="C9" i="16"/>
  <c r="D8" i="3"/>
  <c r="C8" i="3"/>
  <c r="C9" i="3" s="1"/>
  <c r="C10" i="3" s="1"/>
  <c r="U15" i="3" l="1"/>
  <c r="U27" i="3"/>
  <c r="U39" i="3"/>
  <c r="U51" i="3"/>
  <c r="U63" i="3"/>
  <c r="U75" i="3"/>
  <c r="U87" i="3"/>
  <c r="U99" i="3"/>
  <c r="U16" i="3"/>
  <c r="U28" i="3"/>
  <c r="U40" i="3"/>
  <c r="U52" i="3"/>
  <c r="U64" i="3"/>
  <c r="U76" i="3"/>
  <c r="U88" i="3"/>
  <c r="U100" i="3"/>
  <c r="U17" i="3"/>
  <c r="U29" i="3"/>
  <c r="U41" i="3"/>
  <c r="U53" i="3"/>
  <c r="U65" i="3"/>
  <c r="U77" i="3"/>
  <c r="U89" i="3"/>
  <c r="U101" i="3"/>
  <c r="U18" i="3"/>
  <c r="U23" i="3"/>
  <c r="U38" i="3"/>
  <c r="U56" i="3"/>
  <c r="U71" i="3"/>
  <c r="U86" i="3"/>
  <c r="U104" i="3"/>
  <c r="U24" i="3"/>
  <c r="U42" i="3"/>
  <c r="U57" i="3"/>
  <c r="U72" i="3"/>
  <c r="U90" i="3"/>
  <c r="U105" i="3"/>
  <c r="U9" i="3"/>
  <c r="U25" i="3"/>
  <c r="U43" i="3"/>
  <c r="U58" i="3"/>
  <c r="U73" i="3"/>
  <c r="U91" i="3"/>
  <c r="U106" i="3"/>
  <c r="U97" i="3"/>
  <c r="U68" i="3"/>
  <c r="U21" i="3"/>
  <c r="U84" i="3"/>
  <c r="U37" i="3"/>
  <c r="U10" i="3"/>
  <c r="U26" i="3"/>
  <c r="U44" i="3"/>
  <c r="U59" i="3"/>
  <c r="U74" i="3"/>
  <c r="U92" i="3"/>
  <c r="U107" i="3"/>
  <c r="U11" i="3"/>
  <c r="U30" i="3"/>
  <c r="U60" i="3"/>
  <c r="U78" i="3"/>
  <c r="U93" i="3"/>
  <c r="U108" i="3"/>
  <c r="U12" i="3"/>
  <c r="U31" i="3"/>
  <c r="U61" i="3"/>
  <c r="U79" i="3"/>
  <c r="U13" i="3"/>
  <c r="U32" i="3"/>
  <c r="U62" i="3"/>
  <c r="U95" i="3"/>
  <c r="U14" i="3"/>
  <c r="U48" i="3"/>
  <c r="U81" i="3"/>
  <c r="U34" i="3"/>
  <c r="U67" i="3"/>
  <c r="U82" i="3"/>
  <c r="U20" i="3"/>
  <c r="U83" i="3"/>
  <c r="U36" i="3"/>
  <c r="U102" i="3"/>
  <c r="U22" i="3"/>
  <c r="U70" i="3"/>
  <c r="U103" i="3"/>
  <c r="U45" i="3"/>
  <c r="U46" i="3"/>
  <c r="U109" i="3"/>
  <c r="U47" i="3"/>
  <c r="U80" i="3"/>
  <c r="U8" i="3"/>
  <c r="U33" i="3"/>
  <c r="U66" i="3"/>
  <c r="U96" i="3"/>
  <c r="U19" i="3"/>
  <c r="U49" i="3"/>
  <c r="U35" i="3"/>
  <c r="U98" i="3"/>
  <c r="U69" i="3"/>
  <c r="U85" i="3"/>
  <c r="U94" i="3"/>
  <c r="U50" i="3"/>
  <c r="U54" i="3"/>
  <c r="U55" i="3"/>
  <c r="T9" i="16"/>
  <c r="M9" i="16"/>
  <c r="F11" i="16"/>
  <c r="K13" i="16"/>
  <c r="R13" i="16" s="1"/>
  <c r="E11" i="3"/>
  <c r="I10" i="3"/>
  <c r="P10" i="3" s="1"/>
  <c r="G8" i="3"/>
  <c r="H8" i="3"/>
  <c r="O8" i="3" s="1"/>
  <c r="E11" i="16"/>
  <c r="J10" i="16"/>
  <c r="Q10" i="16" s="1"/>
  <c r="O8" i="16"/>
  <c r="C10" i="16"/>
  <c r="C11" i="3"/>
  <c r="M10" i="16" l="1"/>
  <c r="T10" i="16"/>
  <c r="F12" i="16"/>
  <c r="K14" i="16"/>
  <c r="K15" i="16" s="1"/>
  <c r="M8" i="3"/>
  <c r="N8" i="3" s="1"/>
  <c r="I11" i="3"/>
  <c r="P11" i="3" s="1"/>
  <c r="E12" i="3"/>
  <c r="U8" i="16"/>
  <c r="W8" i="16"/>
  <c r="K8" i="3"/>
  <c r="L8" i="3" s="1"/>
  <c r="E12" i="16"/>
  <c r="J11" i="16"/>
  <c r="Q11" i="16" s="1"/>
  <c r="C11" i="16"/>
  <c r="M11" i="16" s="1"/>
  <c r="C12" i="3"/>
  <c r="T8" i="3" l="1"/>
  <c r="V8" i="3" s="1"/>
  <c r="W8" i="3" s="1"/>
  <c r="V8" i="16"/>
  <c r="D9" i="16" s="1"/>
  <c r="T11" i="16"/>
  <c r="F13" i="16"/>
  <c r="R14" i="16"/>
  <c r="R8" i="3"/>
  <c r="S8" i="3" s="1"/>
  <c r="F9" i="3" s="1"/>
  <c r="I12" i="3"/>
  <c r="P12" i="3" s="1"/>
  <c r="E13" i="3"/>
  <c r="E13" i="16"/>
  <c r="J12" i="16"/>
  <c r="Q12" i="16" s="1"/>
  <c r="K16" i="16"/>
  <c r="R15" i="16"/>
  <c r="C12" i="16"/>
  <c r="M12" i="16" s="1"/>
  <c r="C13" i="3"/>
  <c r="D9" i="3" l="1"/>
  <c r="G9" i="16"/>
  <c r="L9" i="16" s="1"/>
  <c r="S9" i="16" s="1"/>
  <c r="T12" i="16"/>
  <c r="F14" i="16"/>
  <c r="I13" i="3"/>
  <c r="P13" i="3" s="1"/>
  <c r="E14" i="3"/>
  <c r="E14" i="16"/>
  <c r="J13" i="16"/>
  <c r="Q13" i="16" s="1"/>
  <c r="R16" i="16"/>
  <c r="K17" i="16"/>
  <c r="C13" i="16"/>
  <c r="M13" i="16" s="1"/>
  <c r="C14" i="3"/>
  <c r="G9" i="3" l="1"/>
  <c r="H9" i="3"/>
  <c r="O9" i="3" s="1"/>
  <c r="J9" i="3"/>
  <c r="Q9" i="3" s="1"/>
  <c r="H9" i="16"/>
  <c r="I9" i="16"/>
  <c r="P9" i="16" s="1"/>
  <c r="T13" i="16"/>
  <c r="F15" i="16"/>
  <c r="E15" i="3"/>
  <c r="I14" i="3"/>
  <c r="P14" i="3" s="1"/>
  <c r="J14" i="16"/>
  <c r="Q14" i="16" s="1"/>
  <c r="E15" i="16"/>
  <c r="K18" i="16"/>
  <c r="R17" i="16"/>
  <c r="C14" i="16"/>
  <c r="M14" i="16" s="1"/>
  <c r="C15" i="3"/>
  <c r="M9" i="3" l="1"/>
  <c r="N9" i="3" s="1"/>
  <c r="K9" i="3"/>
  <c r="L9" i="3" s="1"/>
  <c r="R9" i="3" s="1"/>
  <c r="S9" i="3" s="1"/>
  <c r="F10" i="3" s="1"/>
  <c r="N9" i="16"/>
  <c r="O9" i="16" s="1"/>
  <c r="U9" i="16" s="1"/>
  <c r="V9" i="16" s="1"/>
  <c r="G10" i="16" s="1"/>
  <c r="L10" i="16" s="1"/>
  <c r="T14" i="16"/>
  <c r="F16" i="16"/>
  <c r="E16" i="3"/>
  <c r="I15" i="3"/>
  <c r="P15" i="3" s="1"/>
  <c r="E16" i="16"/>
  <c r="J15" i="16"/>
  <c r="Q15" i="16" s="1"/>
  <c r="R18" i="16"/>
  <c r="K19" i="16"/>
  <c r="C15" i="16"/>
  <c r="M15" i="16" s="1"/>
  <c r="C16" i="3"/>
  <c r="D10" i="3" l="1"/>
  <c r="T9" i="3"/>
  <c r="J10" i="3"/>
  <c r="W9" i="16"/>
  <c r="D10" i="16"/>
  <c r="S10" i="16"/>
  <c r="T15" i="16"/>
  <c r="F17" i="16"/>
  <c r="I16" i="3"/>
  <c r="P16" i="3" s="1"/>
  <c r="E17" i="3"/>
  <c r="J16" i="16"/>
  <c r="Q16" i="16" s="1"/>
  <c r="E17" i="16"/>
  <c r="R19" i="16"/>
  <c r="K20" i="16"/>
  <c r="C16" i="16"/>
  <c r="M16" i="16" s="1"/>
  <c r="C17" i="3"/>
  <c r="V9" i="3" l="1"/>
  <c r="W9" i="3" s="1"/>
  <c r="H10" i="3"/>
  <c r="O10" i="3" s="1"/>
  <c r="G10" i="3"/>
  <c r="I10" i="16"/>
  <c r="P10" i="16" s="1"/>
  <c r="H10" i="16"/>
  <c r="T16" i="16"/>
  <c r="F18" i="16"/>
  <c r="E18" i="3"/>
  <c r="I17" i="3"/>
  <c r="P17" i="3" s="1"/>
  <c r="Q10" i="3"/>
  <c r="J17" i="16"/>
  <c r="Q17" i="16" s="1"/>
  <c r="E18" i="16"/>
  <c r="R20" i="16"/>
  <c r="K21" i="16"/>
  <c r="C17" i="16"/>
  <c r="M17" i="16" s="1"/>
  <c r="C18" i="3"/>
  <c r="M10" i="3" l="1"/>
  <c r="N10" i="3" s="1"/>
  <c r="K10" i="3"/>
  <c r="L10" i="3" s="1"/>
  <c r="R10" i="3" s="1"/>
  <c r="S10" i="3" s="1"/>
  <c r="F11" i="3" s="1"/>
  <c r="N10" i="16"/>
  <c r="O10" i="16" s="1"/>
  <c r="U10" i="16" s="1"/>
  <c r="V10" i="16" s="1"/>
  <c r="G11" i="16" s="1"/>
  <c r="L11" i="16" s="1"/>
  <c r="S11" i="16" s="1"/>
  <c r="T17" i="16"/>
  <c r="F19" i="16"/>
  <c r="E19" i="3"/>
  <c r="I18" i="3"/>
  <c r="P18" i="3" s="1"/>
  <c r="E19" i="16"/>
  <c r="J18" i="16"/>
  <c r="Q18" i="16" s="1"/>
  <c r="K22" i="16"/>
  <c r="R21" i="16"/>
  <c r="C18" i="16"/>
  <c r="M18" i="16" s="1"/>
  <c r="C19" i="3"/>
  <c r="D11" i="3" l="1"/>
  <c r="T10" i="3"/>
  <c r="D11" i="16"/>
  <c r="I11" i="16" s="1"/>
  <c r="P11" i="16" s="1"/>
  <c r="W10" i="16"/>
  <c r="T18" i="16"/>
  <c r="F20" i="16"/>
  <c r="E20" i="3"/>
  <c r="I19" i="3"/>
  <c r="P19" i="3" s="1"/>
  <c r="E20" i="16"/>
  <c r="J19" i="16"/>
  <c r="Q19" i="16" s="1"/>
  <c r="K23" i="16"/>
  <c r="R22" i="16"/>
  <c r="C19" i="16"/>
  <c r="M19" i="16" s="1"/>
  <c r="C20" i="3"/>
  <c r="J11" i="3" l="1"/>
  <c r="Q11" i="3" s="1"/>
  <c r="V10" i="3"/>
  <c r="W10" i="3" s="1"/>
  <c r="H11" i="3"/>
  <c r="O11" i="3" s="1"/>
  <c r="G11" i="3"/>
  <c r="H11" i="16"/>
  <c r="N11" i="16" s="1"/>
  <c r="O11" i="16" s="1"/>
  <c r="U11" i="16" s="1"/>
  <c r="V11" i="16" s="1"/>
  <c r="G12" i="16" s="1"/>
  <c r="L12" i="16" s="1"/>
  <c r="T19" i="16"/>
  <c r="F21" i="16"/>
  <c r="I20" i="3"/>
  <c r="P20" i="3" s="1"/>
  <c r="E21" i="3"/>
  <c r="J20" i="16"/>
  <c r="Q20" i="16" s="1"/>
  <c r="E21" i="16"/>
  <c r="R23" i="16"/>
  <c r="K24" i="16"/>
  <c r="C20" i="16"/>
  <c r="M20" i="16" s="1"/>
  <c r="C21" i="3"/>
  <c r="M11" i="3" l="1"/>
  <c r="N11" i="3" s="1"/>
  <c r="K11" i="3"/>
  <c r="L11" i="3" s="1"/>
  <c r="R11" i="3" s="1"/>
  <c r="S11" i="3" s="1"/>
  <c r="F12" i="3" s="1"/>
  <c r="W11" i="16"/>
  <c r="D12" i="16"/>
  <c r="H12" i="16" s="1"/>
  <c r="T20" i="16"/>
  <c r="F22" i="16"/>
  <c r="E22" i="3"/>
  <c r="I21" i="3"/>
  <c r="P21" i="3" s="1"/>
  <c r="S12" i="16"/>
  <c r="E22" i="16"/>
  <c r="J21" i="16"/>
  <c r="Q21" i="16" s="1"/>
  <c r="R24" i="16"/>
  <c r="K25" i="16"/>
  <c r="C21" i="16"/>
  <c r="M21" i="16" s="1"/>
  <c r="C22" i="3"/>
  <c r="T11" i="3" l="1"/>
  <c r="D12" i="3"/>
  <c r="I12" i="16"/>
  <c r="P12" i="16" s="1"/>
  <c r="T21" i="16"/>
  <c r="F23" i="16"/>
  <c r="E23" i="3"/>
  <c r="I22" i="3"/>
  <c r="P22" i="3" s="1"/>
  <c r="J12" i="3"/>
  <c r="J22" i="16"/>
  <c r="Q22" i="16" s="1"/>
  <c r="E23" i="16"/>
  <c r="K26" i="16"/>
  <c r="R25" i="16"/>
  <c r="C22" i="16"/>
  <c r="M22" i="16" s="1"/>
  <c r="C23" i="3"/>
  <c r="V11" i="3" l="1"/>
  <c r="W11" i="3" s="1"/>
  <c r="G12" i="3"/>
  <c r="H12" i="3"/>
  <c r="O12" i="3" s="1"/>
  <c r="N12" i="16"/>
  <c r="O12" i="16" s="1"/>
  <c r="U12" i="16" s="1"/>
  <c r="V12" i="16" s="1"/>
  <c r="G13" i="16" s="1"/>
  <c r="L13" i="16" s="1"/>
  <c r="T22" i="16"/>
  <c r="F24" i="16"/>
  <c r="I23" i="3"/>
  <c r="P23" i="3" s="1"/>
  <c r="E24" i="3"/>
  <c r="Q12" i="3"/>
  <c r="E24" i="16"/>
  <c r="J23" i="16"/>
  <c r="Q23" i="16" s="1"/>
  <c r="K27" i="16"/>
  <c r="R26" i="16"/>
  <c r="C23" i="16"/>
  <c r="M23" i="16" s="1"/>
  <c r="C24" i="3"/>
  <c r="K12" i="3" l="1"/>
  <c r="L12" i="3" s="1"/>
  <c r="R12" i="3" s="1"/>
  <c r="S12" i="3" s="1"/>
  <c r="F13" i="3" s="1"/>
  <c r="M12" i="3"/>
  <c r="N12" i="3" s="1"/>
  <c r="D13" i="16"/>
  <c r="H13" i="16" s="1"/>
  <c r="W12" i="16"/>
  <c r="T23" i="16"/>
  <c r="F25" i="16"/>
  <c r="I24" i="3"/>
  <c r="P24" i="3" s="1"/>
  <c r="E25" i="3"/>
  <c r="S13" i="16"/>
  <c r="J24" i="16"/>
  <c r="Q24" i="16" s="1"/>
  <c r="E25" i="16"/>
  <c r="K28" i="16"/>
  <c r="R27" i="16"/>
  <c r="C24" i="16"/>
  <c r="M24" i="16" s="1"/>
  <c r="C25" i="3"/>
  <c r="T12" i="3" l="1"/>
  <c r="V12" i="3" s="1"/>
  <c r="W12" i="3" s="1"/>
  <c r="D13" i="3"/>
  <c r="I13" i="16"/>
  <c r="P13" i="16" s="1"/>
  <c r="T24" i="16"/>
  <c r="F26" i="16"/>
  <c r="E26" i="3"/>
  <c r="I25" i="3"/>
  <c r="P25" i="3" s="1"/>
  <c r="J13" i="3"/>
  <c r="E26" i="16"/>
  <c r="J25" i="16"/>
  <c r="Q25" i="16" s="1"/>
  <c r="R28" i="16"/>
  <c r="K29" i="16"/>
  <c r="C25" i="16"/>
  <c r="M25" i="16" s="1"/>
  <c r="C26" i="3"/>
  <c r="G13" i="3" l="1"/>
  <c r="H13" i="3"/>
  <c r="O13" i="3" s="1"/>
  <c r="N13" i="16"/>
  <c r="O13" i="16" s="1"/>
  <c r="U13" i="16" s="1"/>
  <c r="V13" i="16" s="1"/>
  <c r="G14" i="16" s="1"/>
  <c r="L14" i="16" s="1"/>
  <c r="T25" i="16"/>
  <c r="F27" i="16"/>
  <c r="I26" i="3"/>
  <c r="P26" i="3" s="1"/>
  <c r="E27" i="3"/>
  <c r="Q13" i="3"/>
  <c r="E27" i="16"/>
  <c r="J26" i="16"/>
  <c r="Q26" i="16" s="1"/>
  <c r="K30" i="16"/>
  <c r="R29" i="16"/>
  <c r="C26" i="16"/>
  <c r="M26" i="16" s="1"/>
  <c r="C27" i="3"/>
  <c r="K13" i="3" l="1"/>
  <c r="L13" i="3" s="1"/>
  <c r="R13" i="3" s="1"/>
  <c r="S13" i="3" s="1"/>
  <c r="F14" i="3" s="1"/>
  <c r="M13" i="3"/>
  <c r="N13" i="3" s="1"/>
  <c r="D14" i="16"/>
  <c r="H14" i="16" s="1"/>
  <c r="W13" i="16"/>
  <c r="T26" i="16"/>
  <c r="F28" i="16"/>
  <c r="E28" i="3"/>
  <c r="I27" i="3"/>
  <c r="P27" i="3" s="1"/>
  <c r="S14" i="16"/>
  <c r="J27" i="16"/>
  <c r="Q27" i="16" s="1"/>
  <c r="E28" i="16"/>
  <c r="K31" i="16"/>
  <c r="R30" i="16"/>
  <c r="C27" i="16"/>
  <c r="M27" i="16" s="1"/>
  <c r="C28" i="3"/>
  <c r="T13" i="3" l="1"/>
  <c r="V13" i="3" s="1"/>
  <c r="W13" i="3" s="1"/>
  <c r="D14" i="3"/>
  <c r="I14" i="16"/>
  <c r="P14" i="16" s="1"/>
  <c r="T27" i="16"/>
  <c r="F29" i="16"/>
  <c r="E29" i="3"/>
  <c r="I28" i="3"/>
  <c r="P28" i="3" s="1"/>
  <c r="J14" i="3"/>
  <c r="E29" i="16"/>
  <c r="J28" i="16"/>
  <c r="Q28" i="16" s="1"/>
  <c r="R31" i="16"/>
  <c r="K32" i="16"/>
  <c r="C28" i="16"/>
  <c r="M28" i="16" s="1"/>
  <c r="C29" i="3"/>
  <c r="H14" i="3" l="1"/>
  <c r="O14" i="3" s="1"/>
  <c r="G14" i="3"/>
  <c r="N14" i="16"/>
  <c r="O14" i="16" s="1"/>
  <c r="W14" i="16" s="1"/>
  <c r="T28" i="16"/>
  <c r="F30" i="16"/>
  <c r="E30" i="3"/>
  <c r="I29" i="3"/>
  <c r="P29" i="3" s="1"/>
  <c r="Q14" i="3"/>
  <c r="E30" i="16"/>
  <c r="J29" i="16"/>
  <c r="Q29" i="16" s="1"/>
  <c r="K33" i="16"/>
  <c r="R32" i="16"/>
  <c r="C29" i="16"/>
  <c r="M29" i="16" s="1"/>
  <c r="C30" i="3"/>
  <c r="K14" i="3" l="1"/>
  <c r="L14" i="3" s="1"/>
  <c r="R14" i="3" s="1"/>
  <c r="S14" i="3" s="1"/>
  <c r="F15" i="3" s="1"/>
  <c r="M14" i="3"/>
  <c r="N14" i="3" s="1"/>
  <c r="U14" i="16"/>
  <c r="V14" i="16" s="1"/>
  <c r="G15" i="16" s="1"/>
  <c r="L15" i="16" s="1"/>
  <c r="S15" i="16" s="1"/>
  <c r="T29" i="16"/>
  <c r="F31" i="16"/>
  <c r="E31" i="3"/>
  <c r="I30" i="3"/>
  <c r="P30" i="3" s="1"/>
  <c r="J30" i="16"/>
  <c r="Q30" i="16" s="1"/>
  <c r="E31" i="16"/>
  <c r="R33" i="16"/>
  <c r="K34" i="16"/>
  <c r="C30" i="16"/>
  <c r="M30" i="16" s="1"/>
  <c r="C31" i="3"/>
  <c r="T14" i="3" l="1"/>
  <c r="V14" i="3" s="1"/>
  <c r="W14" i="3" s="1"/>
  <c r="D15" i="3"/>
  <c r="D15" i="16"/>
  <c r="I15" i="16" s="1"/>
  <c r="P15" i="16" s="1"/>
  <c r="T30" i="16"/>
  <c r="F32" i="16"/>
  <c r="I31" i="3"/>
  <c r="P31" i="3" s="1"/>
  <c r="E32" i="3"/>
  <c r="J15" i="3"/>
  <c r="J31" i="16"/>
  <c r="Q31" i="16" s="1"/>
  <c r="E32" i="16"/>
  <c r="K35" i="16"/>
  <c r="R34" i="16"/>
  <c r="C31" i="16"/>
  <c r="M31" i="16" s="1"/>
  <c r="C32" i="3"/>
  <c r="H15" i="3" l="1"/>
  <c r="O15" i="3" s="1"/>
  <c r="G15" i="3"/>
  <c r="H15" i="16"/>
  <c r="N15" i="16" s="1"/>
  <c r="O15" i="16" s="1"/>
  <c r="U15" i="16" s="1"/>
  <c r="V15" i="16" s="1"/>
  <c r="G16" i="16" s="1"/>
  <c r="L16" i="16" s="1"/>
  <c r="T31" i="16"/>
  <c r="F33" i="16"/>
  <c r="E33" i="3"/>
  <c r="I32" i="3"/>
  <c r="P32" i="3" s="1"/>
  <c r="Q15" i="3"/>
  <c r="J32" i="16"/>
  <c r="Q32" i="16" s="1"/>
  <c r="E33" i="16"/>
  <c r="R35" i="16"/>
  <c r="K36" i="16"/>
  <c r="C32" i="16"/>
  <c r="M32" i="16" s="1"/>
  <c r="C33" i="3"/>
  <c r="K15" i="3" l="1"/>
  <c r="L15" i="3" s="1"/>
  <c r="R15" i="3" s="1"/>
  <c r="S15" i="3" s="1"/>
  <c r="F16" i="3" s="1"/>
  <c r="M15" i="3"/>
  <c r="N15" i="3" s="1"/>
  <c r="D16" i="16"/>
  <c r="H16" i="16" s="1"/>
  <c r="W15" i="16"/>
  <c r="T32" i="16"/>
  <c r="F34" i="16"/>
  <c r="I33" i="3"/>
  <c r="P33" i="3" s="1"/>
  <c r="E34" i="3"/>
  <c r="S16" i="16"/>
  <c r="J33" i="16"/>
  <c r="Q33" i="16" s="1"/>
  <c r="E34" i="16"/>
  <c r="R36" i="16"/>
  <c r="K37" i="16"/>
  <c r="C33" i="16"/>
  <c r="M33" i="16" s="1"/>
  <c r="C34" i="3"/>
  <c r="T15" i="3" l="1"/>
  <c r="V15" i="3" s="1"/>
  <c r="W15" i="3" s="1"/>
  <c r="D16" i="3"/>
  <c r="I16" i="16"/>
  <c r="P16" i="16" s="1"/>
  <c r="T33" i="16"/>
  <c r="F35" i="16"/>
  <c r="E35" i="3"/>
  <c r="I34" i="3"/>
  <c r="P34" i="3" s="1"/>
  <c r="J16" i="3"/>
  <c r="E35" i="16"/>
  <c r="J34" i="16"/>
  <c r="Q34" i="16" s="1"/>
  <c r="R37" i="16"/>
  <c r="K38" i="16"/>
  <c r="C34" i="16"/>
  <c r="M34" i="16" s="1"/>
  <c r="C35" i="3"/>
  <c r="G16" i="3" l="1"/>
  <c r="H16" i="3"/>
  <c r="O16" i="3" s="1"/>
  <c r="N16" i="16"/>
  <c r="O16" i="16" s="1"/>
  <c r="U16" i="16" s="1"/>
  <c r="V16" i="16" s="1"/>
  <c r="G17" i="16" s="1"/>
  <c r="L17" i="16" s="1"/>
  <c r="T34" i="16"/>
  <c r="F36" i="16"/>
  <c r="I35" i="3"/>
  <c r="P35" i="3" s="1"/>
  <c r="E36" i="3"/>
  <c r="Q16" i="3"/>
  <c r="E36" i="16"/>
  <c r="J35" i="16"/>
  <c r="Q35" i="16" s="1"/>
  <c r="R38" i="16"/>
  <c r="K39" i="16"/>
  <c r="C35" i="16"/>
  <c r="M35" i="16" s="1"/>
  <c r="C36" i="3"/>
  <c r="K16" i="3" l="1"/>
  <c r="L16" i="3" s="1"/>
  <c r="R16" i="3" s="1"/>
  <c r="S16" i="3" s="1"/>
  <c r="F17" i="3" s="1"/>
  <c r="M16" i="3"/>
  <c r="N16" i="3" s="1"/>
  <c r="D17" i="16"/>
  <c r="I17" i="16" s="1"/>
  <c r="P17" i="16" s="1"/>
  <c r="W16" i="16"/>
  <c r="T35" i="16"/>
  <c r="F37" i="16"/>
  <c r="I36" i="3"/>
  <c r="P36" i="3" s="1"/>
  <c r="E37" i="3"/>
  <c r="S17" i="16"/>
  <c r="E37" i="16"/>
  <c r="J36" i="16"/>
  <c r="Q36" i="16" s="1"/>
  <c r="R39" i="16"/>
  <c r="K40" i="16"/>
  <c r="C36" i="16"/>
  <c r="M36" i="16" s="1"/>
  <c r="C37" i="3"/>
  <c r="T16" i="3" l="1"/>
  <c r="V16" i="3" s="1"/>
  <c r="W16" i="3" s="1"/>
  <c r="D17" i="3"/>
  <c r="H17" i="16"/>
  <c r="N17" i="16" s="1"/>
  <c r="O17" i="16" s="1"/>
  <c r="U17" i="16" s="1"/>
  <c r="V17" i="16" s="1"/>
  <c r="G18" i="16" s="1"/>
  <c r="T36" i="16"/>
  <c r="F38" i="16"/>
  <c r="I37" i="3"/>
  <c r="P37" i="3" s="1"/>
  <c r="E38" i="3"/>
  <c r="J17" i="3"/>
  <c r="E38" i="16"/>
  <c r="J37" i="16"/>
  <c r="Q37" i="16" s="1"/>
  <c r="R40" i="16"/>
  <c r="K41" i="16"/>
  <c r="C37" i="16"/>
  <c r="M37" i="16" s="1"/>
  <c r="C38" i="3"/>
  <c r="G17" i="3" l="1"/>
  <c r="H17" i="3"/>
  <c r="O17" i="3" s="1"/>
  <c r="W17" i="16"/>
  <c r="D18" i="16"/>
  <c r="T37" i="16"/>
  <c r="F39" i="16"/>
  <c r="I38" i="3"/>
  <c r="P38" i="3" s="1"/>
  <c r="E39" i="3"/>
  <c r="L18" i="16"/>
  <c r="Q17" i="3"/>
  <c r="E39" i="16"/>
  <c r="J38" i="16"/>
  <c r="Q38" i="16" s="1"/>
  <c r="K42" i="16"/>
  <c r="R41" i="16"/>
  <c r="C38" i="16"/>
  <c r="M38" i="16" s="1"/>
  <c r="C39" i="3"/>
  <c r="K17" i="3" l="1"/>
  <c r="L17" i="3" s="1"/>
  <c r="R17" i="3" s="1"/>
  <c r="S17" i="3" s="1"/>
  <c r="F18" i="3" s="1"/>
  <c r="M17" i="3"/>
  <c r="N17" i="3" s="1"/>
  <c r="H18" i="16"/>
  <c r="I18" i="16"/>
  <c r="P18" i="16" s="1"/>
  <c r="T38" i="16"/>
  <c r="F40" i="16"/>
  <c r="E40" i="3"/>
  <c r="I39" i="3"/>
  <c r="P39" i="3" s="1"/>
  <c r="S18" i="16"/>
  <c r="J39" i="16"/>
  <c r="Q39" i="16" s="1"/>
  <c r="E40" i="16"/>
  <c r="K43" i="16"/>
  <c r="R42" i="16"/>
  <c r="C39" i="16"/>
  <c r="M39" i="16" s="1"/>
  <c r="C40" i="3"/>
  <c r="T17" i="3" l="1"/>
  <c r="V17" i="3" s="1"/>
  <c r="W17" i="3" s="1"/>
  <c r="D18" i="3"/>
  <c r="N18" i="16"/>
  <c r="O18" i="16" s="1"/>
  <c r="U18" i="16" s="1"/>
  <c r="V18" i="16" s="1"/>
  <c r="G19" i="16" s="1"/>
  <c r="T39" i="16"/>
  <c r="F41" i="16"/>
  <c r="I40" i="3"/>
  <c r="P40" i="3" s="1"/>
  <c r="E41" i="3"/>
  <c r="J18" i="3"/>
  <c r="E41" i="16"/>
  <c r="J40" i="16"/>
  <c r="Q40" i="16" s="1"/>
  <c r="K44" i="16"/>
  <c r="R43" i="16"/>
  <c r="C40" i="16"/>
  <c r="M40" i="16" s="1"/>
  <c r="C41" i="3"/>
  <c r="G18" i="3" l="1"/>
  <c r="H18" i="3"/>
  <c r="O18" i="3" s="1"/>
  <c r="W18" i="16"/>
  <c r="D19" i="16"/>
  <c r="T40" i="16"/>
  <c r="F42" i="16"/>
  <c r="E42" i="3"/>
  <c r="I41" i="3"/>
  <c r="P41" i="3" s="1"/>
  <c r="L19" i="16"/>
  <c r="Q18" i="3"/>
  <c r="E42" i="16"/>
  <c r="J41" i="16"/>
  <c r="Q41" i="16" s="1"/>
  <c r="K45" i="16"/>
  <c r="R44" i="16"/>
  <c r="C41" i="16"/>
  <c r="M41" i="16" s="1"/>
  <c r="C42" i="3"/>
  <c r="K18" i="3" l="1"/>
  <c r="L18" i="3" s="1"/>
  <c r="R18" i="3" s="1"/>
  <c r="S18" i="3" s="1"/>
  <c r="F19" i="3" s="1"/>
  <c r="M18" i="3"/>
  <c r="N18" i="3" s="1"/>
  <c r="I19" i="16"/>
  <c r="P19" i="16" s="1"/>
  <c r="H19" i="16"/>
  <c r="T41" i="16"/>
  <c r="F43" i="16"/>
  <c r="E43" i="3"/>
  <c r="I42" i="3"/>
  <c r="P42" i="3" s="1"/>
  <c r="S19" i="16"/>
  <c r="J42" i="16"/>
  <c r="Q42" i="16" s="1"/>
  <c r="E43" i="16"/>
  <c r="R45" i="16"/>
  <c r="K46" i="16"/>
  <c r="C42" i="16"/>
  <c r="M42" i="16" s="1"/>
  <c r="C43" i="3"/>
  <c r="T18" i="3" l="1"/>
  <c r="V18" i="3" s="1"/>
  <c r="W18" i="3" s="1"/>
  <c r="D19" i="3"/>
  <c r="N19" i="16"/>
  <c r="O19" i="16" s="1"/>
  <c r="U19" i="16" s="1"/>
  <c r="V19" i="16" s="1"/>
  <c r="G20" i="16" s="1"/>
  <c r="T42" i="16"/>
  <c r="F44" i="16"/>
  <c r="E44" i="3"/>
  <c r="I43" i="3"/>
  <c r="P43" i="3" s="1"/>
  <c r="J19" i="3"/>
  <c r="J43" i="16"/>
  <c r="Q43" i="16" s="1"/>
  <c r="E44" i="16"/>
  <c r="R46" i="16"/>
  <c r="K47" i="16"/>
  <c r="C43" i="16"/>
  <c r="M43" i="16" s="1"/>
  <c r="C44" i="3"/>
  <c r="G19" i="3" l="1"/>
  <c r="H19" i="3"/>
  <c r="O19" i="3" s="1"/>
  <c r="W19" i="16"/>
  <c r="D20" i="16"/>
  <c r="T43" i="16"/>
  <c r="F45" i="16"/>
  <c r="I44" i="3"/>
  <c r="P44" i="3" s="1"/>
  <c r="E45" i="3"/>
  <c r="L20" i="16"/>
  <c r="Q19" i="3"/>
  <c r="J44" i="16"/>
  <c r="Q44" i="16" s="1"/>
  <c r="E45" i="16"/>
  <c r="R47" i="16"/>
  <c r="K48" i="16"/>
  <c r="C44" i="16"/>
  <c r="M44" i="16" s="1"/>
  <c r="C45" i="3"/>
  <c r="K19" i="3" l="1"/>
  <c r="L19" i="3" s="1"/>
  <c r="R19" i="3" s="1"/>
  <c r="S19" i="3" s="1"/>
  <c r="F20" i="3" s="1"/>
  <c r="M19" i="3"/>
  <c r="N19" i="3" s="1"/>
  <c r="H20" i="16"/>
  <c r="I20" i="16"/>
  <c r="P20" i="16" s="1"/>
  <c r="T44" i="16"/>
  <c r="F46" i="16"/>
  <c r="E46" i="3"/>
  <c r="I45" i="3"/>
  <c r="P45" i="3" s="1"/>
  <c r="S20" i="16"/>
  <c r="J45" i="16"/>
  <c r="Q45" i="16" s="1"/>
  <c r="E46" i="16"/>
  <c r="K49" i="16"/>
  <c r="R48" i="16"/>
  <c r="C45" i="16"/>
  <c r="M45" i="16" s="1"/>
  <c r="C46" i="3"/>
  <c r="T19" i="3" l="1"/>
  <c r="V19" i="3" s="1"/>
  <c r="W19" i="3" s="1"/>
  <c r="D20" i="3"/>
  <c r="N20" i="16"/>
  <c r="O20" i="16" s="1"/>
  <c r="U20" i="16" s="1"/>
  <c r="V20" i="16" s="1"/>
  <c r="G21" i="16" s="1"/>
  <c r="T45" i="16"/>
  <c r="F47" i="16"/>
  <c r="E47" i="3"/>
  <c r="I46" i="3"/>
  <c r="P46" i="3" s="1"/>
  <c r="J20" i="3"/>
  <c r="E47" i="16"/>
  <c r="J46" i="16"/>
  <c r="Q46" i="16" s="1"/>
  <c r="K50" i="16"/>
  <c r="R49" i="16"/>
  <c r="C46" i="16"/>
  <c r="M46" i="16" s="1"/>
  <c r="C47" i="3"/>
  <c r="G20" i="3" l="1"/>
  <c r="H20" i="3"/>
  <c r="O20" i="3" s="1"/>
  <c r="W20" i="16"/>
  <c r="D21" i="16"/>
  <c r="I21" i="16" s="1"/>
  <c r="P21" i="16" s="1"/>
  <c r="T46" i="16"/>
  <c r="F48" i="16"/>
  <c r="E48" i="3"/>
  <c r="I47" i="3"/>
  <c r="P47" i="3" s="1"/>
  <c r="L21" i="16"/>
  <c r="Q20" i="3"/>
  <c r="E48" i="16"/>
  <c r="J47" i="16"/>
  <c r="Q47" i="16" s="1"/>
  <c r="R50" i="16"/>
  <c r="K51" i="16"/>
  <c r="C47" i="16"/>
  <c r="M47" i="16" s="1"/>
  <c r="C48" i="3"/>
  <c r="M20" i="3" l="1"/>
  <c r="N20" i="3" s="1"/>
  <c r="K20" i="3"/>
  <c r="L20" i="3" s="1"/>
  <c r="R20" i="3" s="1"/>
  <c r="S20" i="3" s="1"/>
  <c r="F21" i="3" s="1"/>
  <c r="H21" i="16"/>
  <c r="N21" i="16" s="1"/>
  <c r="O21" i="16" s="1"/>
  <c r="U21" i="16" s="1"/>
  <c r="T47" i="16"/>
  <c r="F49" i="16"/>
  <c r="I48" i="3"/>
  <c r="P48" i="3" s="1"/>
  <c r="E49" i="3"/>
  <c r="S21" i="16"/>
  <c r="J48" i="16"/>
  <c r="Q48" i="16" s="1"/>
  <c r="E49" i="16"/>
  <c r="R51" i="16"/>
  <c r="K52" i="16"/>
  <c r="C48" i="16"/>
  <c r="M48" i="16" s="1"/>
  <c r="C49" i="3"/>
  <c r="D21" i="3" l="1"/>
  <c r="T20" i="3"/>
  <c r="T48" i="16"/>
  <c r="F50" i="16"/>
  <c r="I49" i="3"/>
  <c r="P49" i="3" s="1"/>
  <c r="E50" i="3"/>
  <c r="W21" i="16"/>
  <c r="V21" i="16"/>
  <c r="G22" i="16" s="1"/>
  <c r="J21" i="3"/>
  <c r="J49" i="16"/>
  <c r="Q49" i="16" s="1"/>
  <c r="E50" i="16"/>
  <c r="R52" i="16"/>
  <c r="K53" i="16"/>
  <c r="C49" i="16"/>
  <c r="M49" i="16" s="1"/>
  <c r="C50" i="3"/>
  <c r="V20" i="3" l="1"/>
  <c r="W20" i="3" s="1"/>
  <c r="H21" i="3"/>
  <c r="O21" i="3" s="1"/>
  <c r="G21" i="3"/>
  <c r="M21" i="3" s="1"/>
  <c r="N21" i="3" s="1"/>
  <c r="D22" i="16"/>
  <c r="T49" i="16"/>
  <c r="F51" i="16"/>
  <c r="I50" i="3"/>
  <c r="P50" i="3" s="1"/>
  <c r="E51" i="3"/>
  <c r="L22" i="16"/>
  <c r="Q21" i="3"/>
  <c r="E51" i="16"/>
  <c r="J50" i="16"/>
  <c r="Q50" i="16" s="1"/>
  <c r="K54" i="16"/>
  <c r="R53" i="16"/>
  <c r="C50" i="16"/>
  <c r="M50" i="16" s="1"/>
  <c r="C51" i="3"/>
  <c r="K21" i="3" l="1"/>
  <c r="L21" i="3" s="1"/>
  <c r="R21" i="3" s="1"/>
  <c r="S21" i="3" s="1"/>
  <c r="F22" i="3" s="1"/>
  <c r="H22" i="16"/>
  <c r="I22" i="16"/>
  <c r="P22" i="16" s="1"/>
  <c r="T50" i="16"/>
  <c r="F52" i="16"/>
  <c r="E52" i="3"/>
  <c r="I51" i="3"/>
  <c r="P51" i="3" s="1"/>
  <c r="S22" i="16"/>
  <c r="E52" i="16"/>
  <c r="J51" i="16"/>
  <c r="Q51" i="16" s="1"/>
  <c r="K55" i="16"/>
  <c r="R54" i="16"/>
  <c r="C51" i="16"/>
  <c r="M51" i="16" s="1"/>
  <c r="C52" i="3"/>
  <c r="T21" i="3" l="1"/>
  <c r="V21" i="3" s="1"/>
  <c r="W21" i="3" s="1"/>
  <c r="D22" i="3"/>
  <c r="N22" i="16"/>
  <c r="O22" i="16" s="1"/>
  <c r="U22" i="16" s="1"/>
  <c r="V22" i="16" s="1"/>
  <c r="G23" i="16" s="1"/>
  <c r="T51" i="16"/>
  <c r="F53" i="16"/>
  <c r="E53" i="3"/>
  <c r="I52" i="3"/>
  <c r="P52" i="3" s="1"/>
  <c r="J22" i="3"/>
  <c r="E53" i="16"/>
  <c r="J52" i="16"/>
  <c r="Q52" i="16" s="1"/>
  <c r="K56" i="16"/>
  <c r="R55" i="16"/>
  <c r="C52" i="16"/>
  <c r="M52" i="16" s="1"/>
  <c r="C53" i="3"/>
  <c r="G22" i="3" l="1"/>
  <c r="H22" i="3"/>
  <c r="O22" i="3" s="1"/>
  <c r="W22" i="16"/>
  <c r="D23" i="16"/>
  <c r="T52" i="16"/>
  <c r="F54" i="16"/>
  <c r="E54" i="3"/>
  <c r="I53" i="3"/>
  <c r="P53" i="3" s="1"/>
  <c r="L23" i="16"/>
  <c r="Q22" i="3"/>
  <c r="E54" i="16"/>
  <c r="J53" i="16"/>
  <c r="Q53" i="16" s="1"/>
  <c r="K57" i="16"/>
  <c r="R56" i="16"/>
  <c r="C53" i="16"/>
  <c r="M53" i="16" s="1"/>
  <c r="C54" i="3"/>
  <c r="K22" i="3" l="1"/>
  <c r="L22" i="3" s="1"/>
  <c r="R22" i="3" s="1"/>
  <c r="S22" i="3" s="1"/>
  <c r="F23" i="3" s="1"/>
  <c r="M22" i="3"/>
  <c r="N22" i="3" s="1"/>
  <c r="H23" i="16"/>
  <c r="I23" i="16"/>
  <c r="P23" i="16" s="1"/>
  <c r="T53" i="16"/>
  <c r="F55" i="16"/>
  <c r="E55" i="3"/>
  <c r="I54" i="3"/>
  <c r="P54" i="3" s="1"/>
  <c r="S23" i="16"/>
  <c r="J54" i="16"/>
  <c r="Q54" i="16" s="1"/>
  <c r="E55" i="16"/>
  <c r="R57" i="16"/>
  <c r="K58" i="16"/>
  <c r="C54" i="16"/>
  <c r="M54" i="16" s="1"/>
  <c r="C55" i="3"/>
  <c r="T22" i="3" l="1"/>
  <c r="V22" i="3" s="1"/>
  <c r="W22" i="3" s="1"/>
  <c r="D23" i="3"/>
  <c r="N23" i="16"/>
  <c r="O23" i="16" s="1"/>
  <c r="U23" i="16" s="1"/>
  <c r="V23" i="16" s="1"/>
  <c r="G24" i="16" s="1"/>
  <c r="T54" i="16"/>
  <c r="F56" i="16"/>
  <c r="E56" i="3"/>
  <c r="I55" i="3"/>
  <c r="P55" i="3" s="1"/>
  <c r="J23" i="3"/>
  <c r="J55" i="16"/>
  <c r="Q55" i="16" s="1"/>
  <c r="E56" i="16"/>
  <c r="R58" i="16"/>
  <c r="K59" i="16"/>
  <c r="C55" i="16"/>
  <c r="M55" i="16" s="1"/>
  <c r="C56" i="3"/>
  <c r="G23" i="3" l="1"/>
  <c r="H23" i="3"/>
  <c r="O23" i="3" s="1"/>
  <c r="W23" i="16"/>
  <c r="D24" i="16"/>
  <c r="T55" i="16"/>
  <c r="F57" i="16"/>
  <c r="I56" i="3"/>
  <c r="P56" i="3" s="1"/>
  <c r="E57" i="3"/>
  <c r="L24" i="16"/>
  <c r="Q23" i="3"/>
  <c r="E57" i="16"/>
  <c r="J56" i="16"/>
  <c r="Q56" i="16" s="1"/>
  <c r="K60" i="16"/>
  <c r="R59" i="16"/>
  <c r="C56" i="16"/>
  <c r="M56" i="16" s="1"/>
  <c r="C57" i="3"/>
  <c r="K23" i="3" l="1"/>
  <c r="L23" i="3" s="1"/>
  <c r="R23" i="3" s="1"/>
  <c r="S23" i="3" s="1"/>
  <c r="F24" i="3" s="1"/>
  <c r="M23" i="3"/>
  <c r="N23" i="3" s="1"/>
  <c r="H24" i="16"/>
  <c r="I24" i="16"/>
  <c r="P24" i="16" s="1"/>
  <c r="T56" i="16"/>
  <c r="F58" i="16"/>
  <c r="E58" i="3"/>
  <c r="I57" i="3"/>
  <c r="P57" i="3" s="1"/>
  <c r="S24" i="16"/>
  <c r="E58" i="16"/>
  <c r="J57" i="16"/>
  <c r="Q57" i="16" s="1"/>
  <c r="K61" i="16"/>
  <c r="R60" i="16"/>
  <c r="C57" i="16"/>
  <c r="M57" i="16" s="1"/>
  <c r="C58" i="3"/>
  <c r="T23" i="3" l="1"/>
  <c r="V23" i="3" s="1"/>
  <c r="W23" i="3" s="1"/>
  <c r="D24" i="3"/>
  <c r="N24" i="16"/>
  <c r="O24" i="16" s="1"/>
  <c r="U24" i="16" s="1"/>
  <c r="V24" i="16" s="1"/>
  <c r="G25" i="16" s="1"/>
  <c r="T57" i="16"/>
  <c r="F59" i="16"/>
  <c r="E59" i="3"/>
  <c r="I58" i="3"/>
  <c r="P58" i="3" s="1"/>
  <c r="J24" i="3"/>
  <c r="E59" i="16"/>
  <c r="J58" i="16"/>
  <c r="Q58" i="16" s="1"/>
  <c r="R61" i="16"/>
  <c r="K62" i="16"/>
  <c r="C58" i="16"/>
  <c r="M58" i="16" s="1"/>
  <c r="C59" i="3"/>
  <c r="G24" i="3" l="1"/>
  <c r="H24" i="3"/>
  <c r="O24" i="3" s="1"/>
  <c r="W24" i="16"/>
  <c r="D25" i="16"/>
  <c r="T58" i="16"/>
  <c r="F60" i="16"/>
  <c r="E60" i="3"/>
  <c r="I59" i="3"/>
  <c r="P59" i="3" s="1"/>
  <c r="L25" i="16"/>
  <c r="Q24" i="3"/>
  <c r="E60" i="16"/>
  <c r="J59" i="16"/>
  <c r="Q59" i="16" s="1"/>
  <c r="R62" i="16"/>
  <c r="K63" i="16"/>
  <c r="C59" i="16"/>
  <c r="M59" i="16" s="1"/>
  <c r="C60" i="3"/>
  <c r="K24" i="3" l="1"/>
  <c r="L24" i="3" s="1"/>
  <c r="R24" i="3" s="1"/>
  <c r="S24" i="3" s="1"/>
  <c r="F25" i="3" s="1"/>
  <c r="M24" i="3"/>
  <c r="N24" i="3" s="1"/>
  <c r="I25" i="16"/>
  <c r="P25" i="16" s="1"/>
  <c r="H25" i="16"/>
  <c r="T59" i="16"/>
  <c r="F61" i="16"/>
  <c r="I60" i="3"/>
  <c r="P60" i="3" s="1"/>
  <c r="E61" i="3"/>
  <c r="S25" i="16"/>
  <c r="J60" i="16"/>
  <c r="Q60" i="16" s="1"/>
  <c r="E61" i="16"/>
  <c r="K64" i="16"/>
  <c r="R63" i="16"/>
  <c r="C60" i="16"/>
  <c r="M60" i="16" s="1"/>
  <c r="C61" i="3"/>
  <c r="T24" i="3" l="1"/>
  <c r="V24" i="3" s="1"/>
  <c r="W24" i="3" s="1"/>
  <c r="D25" i="3"/>
  <c r="N25" i="16"/>
  <c r="O25" i="16" s="1"/>
  <c r="U25" i="16" s="1"/>
  <c r="V25" i="16" s="1"/>
  <c r="G26" i="16" s="1"/>
  <c r="T60" i="16"/>
  <c r="F62" i="16"/>
  <c r="I61" i="3"/>
  <c r="P61" i="3" s="1"/>
  <c r="E62" i="3"/>
  <c r="J25" i="3"/>
  <c r="E62" i="16"/>
  <c r="J61" i="16"/>
  <c r="Q61" i="16" s="1"/>
  <c r="R64" i="16"/>
  <c r="K65" i="16"/>
  <c r="C61" i="16"/>
  <c r="M61" i="16" s="1"/>
  <c r="C62" i="3"/>
  <c r="G25" i="3" l="1"/>
  <c r="H25" i="3"/>
  <c r="O25" i="3" s="1"/>
  <c r="W25" i="16"/>
  <c r="D26" i="16"/>
  <c r="T61" i="16"/>
  <c r="F63" i="16"/>
  <c r="E63" i="3"/>
  <c r="I62" i="3"/>
  <c r="P62" i="3" s="1"/>
  <c r="L26" i="16"/>
  <c r="Q25" i="3"/>
  <c r="J62" i="16"/>
  <c r="Q62" i="16" s="1"/>
  <c r="E63" i="16"/>
  <c r="R65" i="16"/>
  <c r="K66" i="16"/>
  <c r="C62" i="16"/>
  <c r="M62" i="16" s="1"/>
  <c r="C63" i="3"/>
  <c r="K25" i="3" l="1"/>
  <c r="L25" i="3" s="1"/>
  <c r="R25" i="3" s="1"/>
  <c r="S25" i="3" s="1"/>
  <c r="F26" i="3" s="1"/>
  <c r="M25" i="3"/>
  <c r="N25" i="3" s="1"/>
  <c r="H26" i="16"/>
  <c r="I26" i="16"/>
  <c r="P26" i="16" s="1"/>
  <c r="T62" i="16"/>
  <c r="F64" i="16"/>
  <c r="I63" i="3"/>
  <c r="P63" i="3" s="1"/>
  <c r="E64" i="3"/>
  <c r="S26" i="16"/>
  <c r="J63" i="16"/>
  <c r="Q63" i="16" s="1"/>
  <c r="E64" i="16"/>
  <c r="R66" i="16"/>
  <c r="K67" i="16"/>
  <c r="C63" i="16"/>
  <c r="M63" i="16" s="1"/>
  <c r="C64" i="3"/>
  <c r="T25" i="3" l="1"/>
  <c r="V25" i="3" s="1"/>
  <c r="W25" i="3" s="1"/>
  <c r="D26" i="3"/>
  <c r="N26" i="16"/>
  <c r="O26" i="16" s="1"/>
  <c r="U26" i="16" s="1"/>
  <c r="V26" i="16" s="1"/>
  <c r="G27" i="16" s="1"/>
  <c r="T63" i="16"/>
  <c r="F65" i="16"/>
  <c r="I64" i="3"/>
  <c r="P64" i="3" s="1"/>
  <c r="E65" i="3"/>
  <c r="J26" i="3"/>
  <c r="J64" i="16"/>
  <c r="Q64" i="16" s="1"/>
  <c r="E65" i="16"/>
  <c r="R67" i="16"/>
  <c r="K68" i="16"/>
  <c r="C64" i="16"/>
  <c r="M64" i="16" s="1"/>
  <c r="C65" i="3"/>
  <c r="H26" i="3" l="1"/>
  <c r="O26" i="3" s="1"/>
  <c r="G26" i="3"/>
  <c r="W26" i="16"/>
  <c r="D27" i="16"/>
  <c r="T64" i="16"/>
  <c r="F66" i="16"/>
  <c r="E66" i="3"/>
  <c r="I65" i="3"/>
  <c r="P65" i="3" s="1"/>
  <c r="L27" i="16"/>
  <c r="Q26" i="3"/>
  <c r="J65" i="16"/>
  <c r="Q65" i="16" s="1"/>
  <c r="E66" i="16"/>
  <c r="K69" i="16"/>
  <c r="R68" i="16"/>
  <c r="C65" i="16"/>
  <c r="M65" i="16" s="1"/>
  <c r="C66" i="3"/>
  <c r="M26" i="3" l="1"/>
  <c r="N26" i="3" s="1"/>
  <c r="K26" i="3"/>
  <c r="L26" i="3" s="1"/>
  <c r="R26" i="3" s="1"/>
  <c r="S26" i="3" s="1"/>
  <c r="F27" i="3" s="1"/>
  <c r="I27" i="16"/>
  <c r="P27" i="16" s="1"/>
  <c r="H27" i="16"/>
  <c r="T65" i="16"/>
  <c r="F67" i="16"/>
  <c r="I66" i="3"/>
  <c r="P66" i="3" s="1"/>
  <c r="E67" i="3"/>
  <c r="S27" i="16"/>
  <c r="J66" i="16"/>
  <c r="Q66" i="16" s="1"/>
  <c r="E67" i="16"/>
  <c r="R69" i="16"/>
  <c r="K70" i="16"/>
  <c r="C66" i="16"/>
  <c r="M66" i="16" s="1"/>
  <c r="C67" i="3"/>
  <c r="D27" i="3" l="1"/>
  <c r="J27" i="3"/>
  <c r="T26" i="3"/>
  <c r="N27" i="16"/>
  <c r="O27" i="16" s="1"/>
  <c r="U27" i="16" s="1"/>
  <c r="V27" i="16" s="1"/>
  <c r="G28" i="16" s="1"/>
  <c r="T66" i="16"/>
  <c r="F68" i="16"/>
  <c r="I67" i="3"/>
  <c r="P67" i="3" s="1"/>
  <c r="E68" i="3"/>
  <c r="J67" i="16"/>
  <c r="Q67" i="16" s="1"/>
  <c r="E68" i="16"/>
  <c r="R70" i="16"/>
  <c r="K71" i="16"/>
  <c r="C67" i="16"/>
  <c r="M67" i="16" s="1"/>
  <c r="C68" i="3"/>
  <c r="V26" i="3" l="1"/>
  <c r="W26" i="3" s="1"/>
  <c r="H27" i="3"/>
  <c r="O27" i="3" s="1"/>
  <c r="G27" i="3"/>
  <c r="W27" i="16"/>
  <c r="D28" i="16"/>
  <c r="T67" i="16"/>
  <c r="F69" i="16"/>
  <c r="E69" i="3"/>
  <c r="I68" i="3"/>
  <c r="P68" i="3" s="1"/>
  <c r="L28" i="16"/>
  <c r="Q27" i="3"/>
  <c r="E69" i="16"/>
  <c r="J68" i="16"/>
  <c r="Q68" i="16" s="1"/>
  <c r="R71" i="16"/>
  <c r="K72" i="16"/>
  <c r="C68" i="16"/>
  <c r="M68" i="16" s="1"/>
  <c r="C69" i="3"/>
  <c r="M27" i="3" l="1"/>
  <c r="N27" i="3" s="1"/>
  <c r="K27" i="3"/>
  <c r="L27" i="3" s="1"/>
  <c r="R27" i="3" s="1"/>
  <c r="S27" i="3" s="1"/>
  <c r="F28" i="3" s="1"/>
  <c r="I28" i="16"/>
  <c r="P28" i="16" s="1"/>
  <c r="H28" i="16"/>
  <c r="T68" i="16"/>
  <c r="F70" i="16"/>
  <c r="I69" i="3"/>
  <c r="P69" i="3" s="1"/>
  <c r="E70" i="3"/>
  <c r="S28" i="16"/>
  <c r="E70" i="16"/>
  <c r="J69" i="16"/>
  <c r="Q69" i="16" s="1"/>
  <c r="R72" i="16"/>
  <c r="K73" i="16"/>
  <c r="C69" i="16"/>
  <c r="M69" i="16" s="1"/>
  <c r="C70" i="3"/>
  <c r="D28" i="3" l="1"/>
  <c r="T27" i="3"/>
  <c r="N28" i="16"/>
  <c r="O28" i="16" s="1"/>
  <c r="U28" i="16" s="1"/>
  <c r="V28" i="16" s="1"/>
  <c r="G29" i="16" s="1"/>
  <c r="T69" i="16"/>
  <c r="F71" i="16"/>
  <c r="I70" i="3"/>
  <c r="P70" i="3" s="1"/>
  <c r="E71" i="3"/>
  <c r="J28" i="3"/>
  <c r="E71" i="16"/>
  <c r="J70" i="16"/>
  <c r="Q70" i="16" s="1"/>
  <c r="K74" i="16"/>
  <c r="R73" i="16"/>
  <c r="C70" i="16"/>
  <c r="M70" i="16" s="1"/>
  <c r="C71" i="3"/>
  <c r="V27" i="3" l="1"/>
  <c r="W27" i="3" s="1"/>
  <c r="G28" i="3"/>
  <c r="H28" i="3"/>
  <c r="O28" i="3" s="1"/>
  <c r="W28" i="16"/>
  <c r="D29" i="16"/>
  <c r="T70" i="16"/>
  <c r="F72" i="16"/>
  <c r="E72" i="3"/>
  <c r="I71" i="3"/>
  <c r="P71" i="3" s="1"/>
  <c r="L29" i="16"/>
  <c r="Q28" i="3"/>
  <c r="E72" i="16"/>
  <c r="J71" i="16"/>
  <c r="Q71" i="16" s="1"/>
  <c r="K75" i="16"/>
  <c r="R74" i="16"/>
  <c r="C71" i="16"/>
  <c r="M71" i="16" s="1"/>
  <c r="C72" i="3"/>
  <c r="K28" i="3" l="1"/>
  <c r="L28" i="3" s="1"/>
  <c r="R28" i="3" s="1"/>
  <c r="S28" i="3" s="1"/>
  <c r="F29" i="3" s="1"/>
  <c r="M28" i="3"/>
  <c r="N28" i="3" s="1"/>
  <c r="I29" i="16"/>
  <c r="P29" i="16" s="1"/>
  <c r="H29" i="16"/>
  <c r="T71" i="16"/>
  <c r="F73" i="16"/>
  <c r="E73" i="3"/>
  <c r="I72" i="3"/>
  <c r="P72" i="3" s="1"/>
  <c r="S29" i="16"/>
  <c r="J72" i="16"/>
  <c r="Q72" i="16" s="1"/>
  <c r="E73" i="16"/>
  <c r="R75" i="16"/>
  <c r="K76" i="16"/>
  <c r="C72" i="16"/>
  <c r="M72" i="16" s="1"/>
  <c r="C73" i="3"/>
  <c r="T28" i="3" l="1"/>
  <c r="V28" i="3" s="1"/>
  <c r="W28" i="3" s="1"/>
  <c r="D29" i="3"/>
  <c r="N29" i="16"/>
  <c r="O29" i="16" s="1"/>
  <c r="U29" i="16" s="1"/>
  <c r="V29" i="16" s="1"/>
  <c r="G30" i="16" s="1"/>
  <c r="T72" i="16"/>
  <c r="F74" i="16"/>
  <c r="I73" i="3"/>
  <c r="P73" i="3" s="1"/>
  <c r="E74" i="3"/>
  <c r="J29" i="3"/>
  <c r="J73" i="16"/>
  <c r="Q73" i="16" s="1"/>
  <c r="E74" i="16"/>
  <c r="K77" i="16"/>
  <c r="R76" i="16"/>
  <c r="C73" i="16"/>
  <c r="M73" i="16" s="1"/>
  <c r="C74" i="3"/>
  <c r="G29" i="3" l="1"/>
  <c r="H29" i="3"/>
  <c r="O29" i="3" s="1"/>
  <c r="W29" i="16"/>
  <c r="D30" i="16"/>
  <c r="T73" i="16"/>
  <c r="F75" i="16"/>
  <c r="I74" i="3"/>
  <c r="P74" i="3" s="1"/>
  <c r="E75" i="3"/>
  <c r="L30" i="16"/>
  <c r="Q29" i="3"/>
  <c r="E75" i="16"/>
  <c r="J74" i="16"/>
  <c r="Q74" i="16" s="1"/>
  <c r="R77" i="16"/>
  <c r="K78" i="16"/>
  <c r="C74" i="16"/>
  <c r="M74" i="16" s="1"/>
  <c r="C75" i="3"/>
  <c r="K29" i="3" l="1"/>
  <c r="L29" i="3" s="1"/>
  <c r="R29" i="3" s="1"/>
  <c r="S29" i="3" s="1"/>
  <c r="F30" i="3" s="1"/>
  <c r="M29" i="3"/>
  <c r="N29" i="3" s="1"/>
  <c r="H30" i="16"/>
  <c r="I30" i="16"/>
  <c r="P30" i="16" s="1"/>
  <c r="T74" i="16"/>
  <c r="F76" i="16"/>
  <c r="I75" i="3"/>
  <c r="P75" i="3" s="1"/>
  <c r="E76" i="3"/>
  <c r="S30" i="16"/>
  <c r="E76" i="16"/>
  <c r="J75" i="16"/>
  <c r="Q75" i="16" s="1"/>
  <c r="K79" i="16"/>
  <c r="R78" i="16"/>
  <c r="C75" i="16"/>
  <c r="M75" i="16" s="1"/>
  <c r="C76" i="3"/>
  <c r="T29" i="3" l="1"/>
  <c r="V29" i="3" s="1"/>
  <c r="W29" i="3" s="1"/>
  <c r="D30" i="3"/>
  <c r="N30" i="16"/>
  <c r="O30" i="16" s="1"/>
  <c r="U30" i="16" s="1"/>
  <c r="V30" i="16" s="1"/>
  <c r="G31" i="16" s="1"/>
  <c r="T75" i="16"/>
  <c r="F77" i="16"/>
  <c r="E77" i="3"/>
  <c r="I76" i="3"/>
  <c r="P76" i="3" s="1"/>
  <c r="J30" i="3"/>
  <c r="E77" i="16"/>
  <c r="J76" i="16"/>
  <c r="Q76" i="16" s="1"/>
  <c r="K80" i="16"/>
  <c r="R79" i="16"/>
  <c r="C76" i="16"/>
  <c r="M76" i="16" s="1"/>
  <c r="C77" i="3"/>
  <c r="H30" i="3" l="1"/>
  <c r="O30" i="3" s="1"/>
  <c r="G30" i="3"/>
  <c r="W30" i="16"/>
  <c r="D31" i="16"/>
  <c r="T76" i="16"/>
  <c r="F78" i="16"/>
  <c r="E78" i="3"/>
  <c r="I77" i="3"/>
  <c r="P77" i="3" s="1"/>
  <c r="L31" i="16"/>
  <c r="Q30" i="3"/>
  <c r="J77" i="16"/>
  <c r="Q77" i="16" s="1"/>
  <c r="E78" i="16"/>
  <c r="R80" i="16"/>
  <c r="K81" i="16"/>
  <c r="C77" i="16"/>
  <c r="M77" i="16" s="1"/>
  <c r="C78" i="3"/>
  <c r="K30" i="3" l="1"/>
  <c r="L30" i="3" s="1"/>
  <c r="R30" i="3" s="1"/>
  <c r="S30" i="3" s="1"/>
  <c r="F31" i="3" s="1"/>
  <c r="M30" i="3"/>
  <c r="N30" i="3" s="1"/>
  <c r="I31" i="16"/>
  <c r="P31" i="16" s="1"/>
  <c r="H31" i="16"/>
  <c r="T77" i="16"/>
  <c r="F79" i="16"/>
  <c r="I78" i="3"/>
  <c r="P78" i="3" s="1"/>
  <c r="E79" i="3"/>
  <c r="S31" i="16"/>
  <c r="E79" i="16"/>
  <c r="J78" i="16"/>
  <c r="Q78" i="16" s="1"/>
  <c r="R81" i="16"/>
  <c r="K82" i="16"/>
  <c r="C78" i="16"/>
  <c r="M78" i="16" s="1"/>
  <c r="C79" i="3"/>
  <c r="T30" i="3" l="1"/>
  <c r="V30" i="3" s="1"/>
  <c r="W30" i="3" s="1"/>
  <c r="D31" i="3"/>
  <c r="N31" i="16"/>
  <c r="O31" i="16" s="1"/>
  <c r="U31" i="16" s="1"/>
  <c r="V31" i="16" s="1"/>
  <c r="G32" i="16" s="1"/>
  <c r="T78" i="16"/>
  <c r="F80" i="16"/>
  <c r="I79" i="3"/>
  <c r="P79" i="3" s="1"/>
  <c r="E80" i="3"/>
  <c r="J31" i="3"/>
  <c r="J79" i="16"/>
  <c r="Q79" i="16" s="1"/>
  <c r="E80" i="16"/>
  <c r="K83" i="16"/>
  <c r="R82" i="16"/>
  <c r="C79" i="16"/>
  <c r="M79" i="16" s="1"/>
  <c r="C80" i="3"/>
  <c r="G31" i="3" l="1"/>
  <c r="H31" i="3"/>
  <c r="O31" i="3" s="1"/>
  <c r="W31" i="16"/>
  <c r="D32" i="16"/>
  <c r="T79" i="16"/>
  <c r="F81" i="16"/>
  <c r="I80" i="3"/>
  <c r="P80" i="3" s="1"/>
  <c r="E81" i="3"/>
  <c r="L32" i="16"/>
  <c r="Q31" i="3"/>
  <c r="E81" i="16"/>
  <c r="J80" i="16"/>
  <c r="Q80" i="16" s="1"/>
  <c r="K84" i="16"/>
  <c r="R83" i="16"/>
  <c r="C80" i="16"/>
  <c r="M80" i="16" s="1"/>
  <c r="C81" i="3"/>
  <c r="M31" i="3" l="1"/>
  <c r="N31" i="3" s="1"/>
  <c r="K31" i="3"/>
  <c r="L31" i="3" s="1"/>
  <c r="R31" i="3" s="1"/>
  <c r="S31" i="3" s="1"/>
  <c r="F32" i="3" s="1"/>
  <c r="H32" i="16"/>
  <c r="I32" i="16"/>
  <c r="P32" i="16" s="1"/>
  <c r="T80" i="16"/>
  <c r="F82" i="16"/>
  <c r="I81" i="3"/>
  <c r="P81" i="3" s="1"/>
  <c r="E82" i="3"/>
  <c r="S32" i="16"/>
  <c r="J81" i="16"/>
  <c r="Q81" i="16" s="1"/>
  <c r="E82" i="16"/>
  <c r="R84" i="16"/>
  <c r="K85" i="16"/>
  <c r="C81" i="16"/>
  <c r="M81" i="16" s="1"/>
  <c r="C82" i="3"/>
  <c r="D32" i="3" l="1"/>
  <c r="T31" i="3"/>
  <c r="N32" i="16"/>
  <c r="O32" i="16" s="1"/>
  <c r="U32" i="16" s="1"/>
  <c r="V32" i="16" s="1"/>
  <c r="G33" i="16" s="1"/>
  <c r="T81" i="16"/>
  <c r="F83" i="16"/>
  <c r="E83" i="3"/>
  <c r="I82" i="3"/>
  <c r="P82" i="3" s="1"/>
  <c r="J32" i="3"/>
  <c r="J82" i="16"/>
  <c r="Q82" i="16" s="1"/>
  <c r="E83" i="16"/>
  <c r="R85" i="16"/>
  <c r="K86" i="16"/>
  <c r="C82" i="16"/>
  <c r="M82" i="16" s="1"/>
  <c r="C83" i="3"/>
  <c r="V31" i="3" l="1"/>
  <c r="W31" i="3" s="1"/>
  <c r="G32" i="3"/>
  <c r="H32" i="3"/>
  <c r="O32" i="3" s="1"/>
  <c r="W32" i="16"/>
  <c r="D33" i="16"/>
  <c r="T82" i="16"/>
  <c r="F84" i="16"/>
  <c r="E84" i="3"/>
  <c r="I83" i="3"/>
  <c r="P83" i="3" s="1"/>
  <c r="L33" i="16"/>
  <c r="Q32" i="3"/>
  <c r="J83" i="16"/>
  <c r="Q83" i="16" s="1"/>
  <c r="E84" i="16"/>
  <c r="K87" i="16"/>
  <c r="R86" i="16"/>
  <c r="C83" i="16"/>
  <c r="M83" i="16" s="1"/>
  <c r="C84" i="3"/>
  <c r="K32" i="3" l="1"/>
  <c r="L32" i="3" s="1"/>
  <c r="R32" i="3" s="1"/>
  <c r="S32" i="3" s="1"/>
  <c r="F33" i="3" s="1"/>
  <c r="M32" i="3"/>
  <c r="N32" i="3" s="1"/>
  <c r="I33" i="16"/>
  <c r="P33" i="16" s="1"/>
  <c r="H33" i="16"/>
  <c r="T83" i="16"/>
  <c r="F85" i="16"/>
  <c r="E85" i="3"/>
  <c r="I84" i="3"/>
  <c r="P84" i="3" s="1"/>
  <c r="S33" i="16"/>
  <c r="E85" i="16"/>
  <c r="J84" i="16"/>
  <c r="Q84" i="16" s="1"/>
  <c r="R87" i="16"/>
  <c r="K88" i="16"/>
  <c r="C84" i="16"/>
  <c r="M84" i="16" s="1"/>
  <c r="C85" i="3"/>
  <c r="T32" i="3" l="1"/>
  <c r="V32" i="3" s="1"/>
  <c r="W32" i="3" s="1"/>
  <c r="D33" i="3"/>
  <c r="N33" i="16"/>
  <c r="O33" i="16" s="1"/>
  <c r="U33" i="16" s="1"/>
  <c r="V33" i="16" s="1"/>
  <c r="G34" i="16" s="1"/>
  <c r="T84" i="16"/>
  <c r="F86" i="16"/>
  <c r="E86" i="3"/>
  <c r="I85" i="3"/>
  <c r="P85" i="3" s="1"/>
  <c r="J33" i="3"/>
  <c r="E86" i="16"/>
  <c r="J85" i="16"/>
  <c r="Q85" i="16" s="1"/>
  <c r="R88" i="16"/>
  <c r="K89" i="16"/>
  <c r="C85" i="16"/>
  <c r="M85" i="16" s="1"/>
  <c r="C86" i="3"/>
  <c r="G33" i="3" l="1"/>
  <c r="H33" i="3"/>
  <c r="O33" i="3" s="1"/>
  <c r="W33" i="16"/>
  <c r="D34" i="16"/>
  <c r="T85" i="16"/>
  <c r="F87" i="16"/>
  <c r="I86" i="3"/>
  <c r="P86" i="3" s="1"/>
  <c r="E87" i="3"/>
  <c r="L34" i="16"/>
  <c r="Q33" i="3"/>
  <c r="E87" i="16"/>
  <c r="J86" i="16"/>
  <c r="Q86" i="16" s="1"/>
  <c r="K90" i="16"/>
  <c r="R89" i="16"/>
  <c r="C86" i="16"/>
  <c r="M86" i="16" s="1"/>
  <c r="C87" i="3"/>
  <c r="K33" i="3" l="1"/>
  <c r="L33" i="3" s="1"/>
  <c r="R33" i="3" s="1"/>
  <c r="S33" i="3" s="1"/>
  <c r="F34" i="3" s="1"/>
  <c r="M33" i="3"/>
  <c r="N33" i="3" s="1"/>
  <c r="H34" i="16"/>
  <c r="I34" i="16"/>
  <c r="P34" i="16" s="1"/>
  <c r="T86" i="16"/>
  <c r="F88" i="16"/>
  <c r="I87" i="3"/>
  <c r="P87" i="3" s="1"/>
  <c r="E88" i="3"/>
  <c r="S34" i="16"/>
  <c r="E88" i="16"/>
  <c r="J87" i="16"/>
  <c r="Q87" i="16" s="1"/>
  <c r="K91" i="16"/>
  <c r="R90" i="16"/>
  <c r="C87" i="16"/>
  <c r="M87" i="16" s="1"/>
  <c r="C88" i="3"/>
  <c r="T33" i="3" l="1"/>
  <c r="V33" i="3" s="1"/>
  <c r="W33" i="3" s="1"/>
  <c r="D34" i="3"/>
  <c r="N34" i="16"/>
  <c r="O34" i="16" s="1"/>
  <c r="U34" i="16" s="1"/>
  <c r="V34" i="16" s="1"/>
  <c r="G35" i="16" s="1"/>
  <c r="T87" i="16"/>
  <c r="F89" i="16"/>
  <c r="I88" i="3"/>
  <c r="P88" i="3" s="1"/>
  <c r="E89" i="3"/>
  <c r="J34" i="3"/>
  <c r="E89" i="16"/>
  <c r="J88" i="16"/>
  <c r="Q88" i="16" s="1"/>
  <c r="R91" i="16"/>
  <c r="K92" i="16"/>
  <c r="C88" i="16"/>
  <c r="M88" i="16" s="1"/>
  <c r="C89" i="3"/>
  <c r="G34" i="3" l="1"/>
  <c r="H34" i="3"/>
  <c r="O34" i="3" s="1"/>
  <c r="W34" i="16"/>
  <c r="D35" i="16"/>
  <c r="T88" i="16"/>
  <c r="F90" i="16"/>
  <c r="E90" i="3"/>
  <c r="I89" i="3"/>
  <c r="P89" i="3" s="1"/>
  <c r="L35" i="16"/>
  <c r="Q34" i="3"/>
  <c r="J89" i="16"/>
  <c r="Q89" i="16" s="1"/>
  <c r="E90" i="16"/>
  <c r="R92" i="16"/>
  <c r="K93" i="16"/>
  <c r="C89" i="16"/>
  <c r="M89" i="16" s="1"/>
  <c r="C90" i="3"/>
  <c r="M34" i="3" l="1"/>
  <c r="N34" i="3" s="1"/>
  <c r="K34" i="3"/>
  <c r="L34" i="3" s="1"/>
  <c r="R34" i="3" s="1"/>
  <c r="S34" i="3" s="1"/>
  <c r="F35" i="3" s="1"/>
  <c r="H35" i="16"/>
  <c r="I35" i="16"/>
  <c r="P35" i="16" s="1"/>
  <c r="T89" i="16"/>
  <c r="F91" i="16"/>
  <c r="I90" i="3"/>
  <c r="P90" i="3" s="1"/>
  <c r="E91" i="3"/>
  <c r="S35" i="16"/>
  <c r="J90" i="16"/>
  <c r="Q90" i="16" s="1"/>
  <c r="E91" i="16"/>
  <c r="K94" i="16"/>
  <c r="R93" i="16"/>
  <c r="C90" i="16"/>
  <c r="M90" i="16" s="1"/>
  <c r="C91" i="3"/>
  <c r="D35" i="3" l="1"/>
  <c r="T34" i="3"/>
  <c r="N35" i="16"/>
  <c r="O35" i="16" s="1"/>
  <c r="U35" i="16" s="1"/>
  <c r="V35" i="16" s="1"/>
  <c r="G36" i="16" s="1"/>
  <c r="T90" i="16"/>
  <c r="F92" i="16"/>
  <c r="E92" i="3"/>
  <c r="I91" i="3"/>
  <c r="P91" i="3" s="1"/>
  <c r="J35" i="3"/>
  <c r="J91" i="16"/>
  <c r="Q91" i="16" s="1"/>
  <c r="E92" i="16"/>
  <c r="R94" i="16"/>
  <c r="K95" i="16"/>
  <c r="C91" i="16"/>
  <c r="M91" i="16" s="1"/>
  <c r="C92" i="3"/>
  <c r="V34" i="3" l="1"/>
  <c r="W34" i="3" s="1"/>
  <c r="G35" i="3"/>
  <c r="H35" i="3"/>
  <c r="O35" i="3" s="1"/>
  <c r="W35" i="16"/>
  <c r="D36" i="16"/>
  <c r="T91" i="16"/>
  <c r="F93" i="16"/>
  <c r="I92" i="3"/>
  <c r="P92" i="3" s="1"/>
  <c r="E93" i="3"/>
  <c r="L36" i="16"/>
  <c r="Q35" i="3"/>
  <c r="E93" i="16"/>
  <c r="J92" i="16"/>
  <c r="Q92" i="16" s="1"/>
  <c r="K96" i="16"/>
  <c r="R95" i="16"/>
  <c r="C92" i="16"/>
  <c r="M92" i="16" s="1"/>
  <c r="C93" i="3"/>
  <c r="K35" i="3" l="1"/>
  <c r="L35" i="3" s="1"/>
  <c r="R35" i="3" s="1"/>
  <c r="S35" i="3" s="1"/>
  <c r="F36" i="3" s="1"/>
  <c r="M35" i="3"/>
  <c r="N35" i="3" s="1"/>
  <c r="H36" i="16"/>
  <c r="I36" i="16"/>
  <c r="P36" i="16" s="1"/>
  <c r="T92" i="16"/>
  <c r="F94" i="16"/>
  <c r="I93" i="3"/>
  <c r="P93" i="3" s="1"/>
  <c r="E94" i="3"/>
  <c r="S36" i="16"/>
  <c r="E94" i="16"/>
  <c r="J93" i="16"/>
  <c r="Q93" i="16" s="1"/>
  <c r="K97" i="16"/>
  <c r="R96" i="16"/>
  <c r="C93" i="16"/>
  <c r="M93" i="16" s="1"/>
  <c r="C94" i="3"/>
  <c r="T35" i="3" l="1"/>
  <c r="V35" i="3" s="1"/>
  <c r="W35" i="3" s="1"/>
  <c r="D36" i="3"/>
  <c r="N36" i="16"/>
  <c r="O36" i="16" s="1"/>
  <c r="U36" i="16" s="1"/>
  <c r="V36" i="16" s="1"/>
  <c r="G37" i="16" s="1"/>
  <c r="T93" i="16"/>
  <c r="F95" i="16"/>
  <c r="E95" i="3"/>
  <c r="I94" i="3"/>
  <c r="P94" i="3" s="1"/>
  <c r="J36" i="3"/>
  <c r="E95" i="16"/>
  <c r="J94" i="16"/>
  <c r="Q94" i="16" s="1"/>
  <c r="K98" i="16"/>
  <c r="R97" i="16"/>
  <c r="C94" i="16"/>
  <c r="M94" i="16" s="1"/>
  <c r="C95" i="3"/>
  <c r="H36" i="3" l="1"/>
  <c r="O36" i="3" s="1"/>
  <c r="G36" i="3"/>
  <c r="W36" i="16"/>
  <c r="D37" i="16"/>
  <c r="T94" i="16"/>
  <c r="F96" i="16"/>
  <c r="E96" i="3"/>
  <c r="I95" i="3"/>
  <c r="P95" i="3" s="1"/>
  <c r="L37" i="16"/>
  <c r="Q36" i="3"/>
  <c r="J95" i="16"/>
  <c r="Q95" i="16" s="1"/>
  <c r="E96" i="16"/>
  <c r="R98" i="16"/>
  <c r="K99" i="16"/>
  <c r="C95" i="16"/>
  <c r="M95" i="16" s="1"/>
  <c r="C96" i="3"/>
  <c r="K36" i="3" l="1"/>
  <c r="L36" i="3" s="1"/>
  <c r="R36" i="3" s="1"/>
  <c r="S36" i="3" s="1"/>
  <c r="F37" i="3" s="1"/>
  <c r="M36" i="3"/>
  <c r="N36" i="3" s="1"/>
  <c r="H37" i="16"/>
  <c r="I37" i="16"/>
  <c r="P37" i="16" s="1"/>
  <c r="T95" i="16"/>
  <c r="F97" i="16"/>
  <c r="E97" i="3"/>
  <c r="I96" i="3"/>
  <c r="P96" i="3" s="1"/>
  <c r="S37" i="16"/>
  <c r="E97" i="16"/>
  <c r="J96" i="16"/>
  <c r="Q96" i="16" s="1"/>
  <c r="R99" i="16"/>
  <c r="K100" i="16"/>
  <c r="C96" i="16"/>
  <c r="M96" i="16" s="1"/>
  <c r="C97" i="3"/>
  <c r="T36" i="3" l="1"/>
  <c r="V36" i="3" s="1"/>
  <c r="W36" i="3" s="1"/>
  <c r="D37" i="3"/>
  <c r="N37" i="16"/>
  <c r="O37" i="16" s="1"/>
  <c r="U37" i="16" s="1"/>
  <c r="V37" i="16" s="1"/>
  <c r="G38" i="16" s="1"/>
  <c r="T96" i="16"/>
  <c r="F98" i="16"/>
  <c r="I97" i="3"/>
  <c r="P97" i="3" s="1"/>
  <c r="E98" i="3"/>
  <c r="J37" i="3"/>
  <c r="E98" i="16"/>
  <c r="J97" i="16"/>
  <c r="Q97" i="16" s="1"/>
  <c r="K101" i="16"/>
  <c r="R100" i="16"/>
  <c r="C97" i="16"/>
  <c r="M97" i="16" s="1"/>
  <c r="C98" i="3"/>
  <c r="G37" i="3" l="1"/>
  <c r="H37" i="3"/>
  <c r="O37" i="3" s="1"/>
  <c r="W37" i="16"/>
  <c r="D38" i="16"/>
  <c r="T97" i="16"/>
  <c r="F99" i="16"/>
  <c r="E99" i="3"/>
  <c r="I98" i="3"/>
  <c r="P98" i="3" s="1"/>
  <c r="L38" i="16"/>
  <c r="Q37" i="3"/>
  <c r="E99" i="16"/>
  <c r="J98" i="16"/>
  <c r="Q98" i="16" s="1"/>
  <c r="R101" i="16"/>
  <c r="K102" i="16"/>
  <c r="C98" i="16"/>
  <c r="M98" i="16" s="1"/>
  <c r="C99" i="3"/>
  <c r="K37" i="3" l="1"/>
  <c r="L37" i="3" s="1"/>
  <c r="R37" i="3" s="1"/>
  <c r="S37" i="3" s="1"/>
  <c r="F38" i="3" s="1"/>
  <c r="M37" i="3"/>
  <c r="N37" i="3" s="1"/>
  <c r="H38" i="16"/>
  <c r="I38" i="16"/>
  <c r="P38" i="16" s="1"/>
  <c r="T98" i="16"/>
  <c r="F100" i="16"/>
  <c r="E100" i="3"/>
  <c r="I99" i="3"/>
  <c r="P99" i="3" s="1"/>
  <c r="S38" i="16"/>
  <c r="J99" i="16"/>
  <c r="Q99" i="16" s="1"/>
  <c r="E100" i="16"/>
  <c r="R102" i="16"/>
  <c r="K103" i="16"/>
  <c r="C99" i="16"/>
  <c r="M99" i="16" s="1"/>
  <c r="C100" i="3"/>
  <c r="T37" i="3" l="1"/>
  <c r="V37" i="3" s="1"/>
  <c r="W37" i="3" s="1"/>
  <c r="D38" i="3"/>
  <c r="N38" i="16"/>
  <c r="O38" i="16" s="1"/>
  <c r="U38" i="16" s="1"/>
  <c r="V38" i="16" s="1"/>
  <c r="G39" i="16" s="1"/>
  <c r="T99" i="16"/>
  <c r="F101" i="16"/>
  <c r="E101" i="3"/>
  <c r="I100" i="3"/>
  <c r="P100" i="3" s="1"/>
  <c r="J38" i="3"/>
  <c r="E101" i="16"/>
  <c r="J100" i="16"/>
  <c r="Q100" i="16" s="1"/>
  <c r="R103" i="16"/>
  <c r="K104" i="16"/>
  <c r="C100" i="16"/>
  <c r="M100" i="16" s="1"/>
  <c r="C101" i="3"/>
  <c r="H38" i="3" l="1"/>
  <c r="O38" i="3" s="1"/>
  <c r="G38" i="3"/>
  <c r="W38" i="16"/>
  <c r="D39" i="16"/>
  <c r="T100" i="16"/>
  <c r="F102" i="16"/>
  <c r="E102" i="3"/>
  <c r="I101" i="3"/>
  <c r="P101" i="3" s="1"/>
  <c r="L39" i="16"/>
  <c r="Q38" i="3"/>
  <c r="E102" i="16"/>
  <c r="J101" i="16"/>
  <c r="Q101" i="16" s="1"/>
  <c r="R104" i="16"/>
  <c r="K105" i="16"/>
  <c r="C101" i="16"/>
  <c r="M101" i="16" s="1"/>
  <c r="C102" i="3"/>
  <c r="K38" i="3" l="1"/>
  <c r="L38" i="3" s="1"/>
  <c r="R38" i="3" s="1"/>
  <c r="S38" i="3" s="1"/>
  <c r="F39" i="3" s="1"/>
  <c r="M38" i="3"/>
  <c r="N38" i="3" s="1"/>
  <c r="I39" i="16"/>
  <c r="P39" i="16" s="1"/>
  <c r="H39" i="16"/>
  <c r="T101" i="16"/>
  <c r="F103" i="16"/>
  <c r="I102" i="3"/>
  <c r="P102" i="3" s="1"/>
  <c r="E103" i="3"/>
  <c r="S39" i="16"/>
  <c r="E103" i="16"/>
  <c r="J102" i="16"/>
  <c r="Q102" i="16" s="1"/>
  <c r="R105" i="16"/>
  <c r="K106" i="16"/>
  <c r="C102" i="16"/>
  <c r="M102" i="16" s="1"/>
  <c r="C103" i="3"/>
  <c r="T38" i="3" l="1"/>
  <c r="V38" i="3" s="1"/>
  <c r="W38" i="3" s="1"/>
  <c r="D39" i="3"/>
  <c r="N39" i="16"/>
  <c r="O39" i="16" s="1"/>
  <c r="U39" i="16" s="1"/>
  <c r="V39" i="16" s="1"/>
  <c r="G40" i="16" s="1"/>
  <c r="T102" i="16"/>
  <c r="F104" i="16"/>
  <c r="E104" i="3"/>
  <c r="I103" i="3"/>
  <c r="P103" i="3" s="1"/>
  <c r="J39" i="3"/>
  <c r="E104" i="16"/>
  <c r="J103" i="16"/>
  <c r="Q103" i="16" s="1"/>
  <c r="K107" i="16"/>
  <c r="R106" i="16"/>
  <c r="C103" i="16"/>
  <c r="M103" i="16" s="1"/>
  <c r="C104" i="3"/>
  <c r="G39" i="3" l="1"/>
  <c r="H39" i="3"/>
  <c r="O39" i="3" s="1"/>
  <c r="W39" i="16"/>
  <c r="D40" i="16"/>
  <c r="T103" i="16"/>
  <c r="F105" i="16"/>
  <c r="E105" i="3"/>
  <c r="I104" i="3"/>
  <c r="P104" i="3" s="1"/>
  <c r="L40" i="16"/>
  <c r="Q39" i="3"/>
  <c r="E105" i="16"/>
  <c r="J104" i="16"/>
  <c r="Q104" i="16" s="1"/>
  <c r="K108" i="16"/>
  <c r="R107" i="16"/>
  <c r="C104" i="16"/>
  <c r="M104" i="16" s="1"/>
  <c r="C105" i="3"/>
  <c r="K39" i="3" l="1"/>
  <c r="L39" i="3" s="1"/>
  <c r="R39" i="3" s="1"/>
  <c r="S39" i="3" s="1"/>
  <c r="F40" i="3" s="1"/>
  <c r="M39" i="3"/>
  <c r="N39" i="3" s="1"/>
  <c r="I40" i="16"/>
  <c r="P40" i="16" s="1"/>
  <c r="H40" i="16"/>
  <c r="T104" i="16"/>
  <c r="F106" i="16"/>
  <c r="I105" i="3"/>
  <c r="P105" i="3" s="1"/>
  <c r="E106" i="3"/>
  <c r="S40" i="16"/>
  <c r="J105" i="16"/>
  <c r="Q105" i="16" s="1"/>
  <c r="E106" i="16"/>
  <c r="R108" i="16"/>
  <c r="K109" i="16"/>
  <c r="R109" i="16" s="1"/>
  <c r="C105" i="16"/>
  <c r="M105" i="16" s="1"/>
  <c r="C106" i="3"/>
  <c r="T39" i="3" l="1"/>
  <c r="V39" i="3" s="1"/>
  <c r="W39" i="3" s="1"/>
  <c r="D40" i="3"/>
  <c r="N40" i="16"/>
  <c r="O40" i="16" s="1"/>
  <c r="U40" i="16" s="1"/>
  <c r="V40" i="16" s="1"/>
  <c r="G41" i="16" s="1"/>
  <c r="T105" i="16"/>
  <c r="F107" i="16"/>
  <c r="I106" i="3"/>
  <c r="P106" i="3" s="1"/>
  <c r="E107" i="3"/>
  <c r="J40" i="3"/>
  <c r="J106" i="16"/>
  <c r="Q106" i="16" s="1"/>
  <c r="E107" i="16"/>
  <c r="C106" i="16"/>
  <c r="M106" i="16" s="1"/>
  <c r="C107" i="3"/>
  <c r="H40" i="3" l="1"/>
  <c r="O40" i="3" s="1"/>
  <c r="G40" i="3"/>
  <c r="W40" i="16"/>
  <c r="D41" i="16"/>
  <c r="T106" i="16"/>
  <c r="F108" i="16"/>
  <c r="E108" i="3"/>
  <c r="I107" i="3"/>
  <c r="P107" i="3" s="1"/>
  <c r="L41" i="16"/>
  <c r="Q40" i="3"/>
  <c r="J107" i="16"/>
  <c r="Q107" i="16" s="1"/>
  <c r="E108" i="16"/>
  <c r="C107" i="16"/>
  <c r="M107" i="16" s="1"/>
  <c r="C108" i="3"/>
  <c r="K40" i="3" l="1"/>
  <c r="L40" i="3" s="1"/>
  <c r="R40" i="3" s="1"/>
  <c r="S40" i="3" s="1"/>
  <c r="F41" i="3" s="1"/>
  <c r="M40" i="3"/>
  <c r="N40" i="3" s="1"/>
  <c r="I41" i="16"/>
  <c r="P41" i="16" s="1"/>
  <c r="H41" i="16"/>
  <c r="T107" i="16"/>
  <c r="F109" i="16"/>
  <c r="E109" i="3"/>
  <c r="I109" i="3" s="1"/>
  <c r="P109" i="3" s="1"/>
  <c r="I108" i="3"/>
  <c r="P108" i="3" s="1"/>
  <c r="S41" i="16"/>
  <c r="E109" i="16"/>
  <c r="J108" i="16"/>
  <c r="Q108" i="16" s="1"/>
  <c r="C108" i="16"/>
  <c r="M108" i="16" s="1"/>
  <c r="C109" i="3"/>
  <c r="T40" i="3" l="1"/>
  <c r="V40" i="3" s="1"/>
  <c r="W40" i="3" s="1"/>
  <c r="D41" i="3"/>
  <c r="N41" i="16"/>
  <c r="O41" i="16" s="1"/>
  <c r="U41" i="16" s="1"/>
  <c r="V41" i="16" s="1"/>
  <c r="G42" i="16" s="1"/>
  <c r="T108" i="16"/>
  <c r="J109" i="16"/>
  <c r="Q109" i="16" s="1"/>
  <c r="J41" i="3"/>
  <c r="C109" i="16"/>
  <c r="M109" i="16" s="1"/>
  <c r="G41" i="3" l="1"/>
  <c r="H41" i="3"/>
  <c r="O41" i="3" s="1"/>
  <c r="W41" i="16"/>
  <c r="D42" i="16"/>
  <c r="T109" i="16"/>
  <c r="L42" i="16"/>
  <c r="Q41" i="3"/>
  <c r="K41" i="3" l="1"/>
  <c r="L41" i="3" s="1"/>
  <c r="R41" i="3" s="1"/>
  <c r="S41" i="3" s="1"/>
  <c r="F42" i="3" s="1"/>
  <c r="M41" i="3"/>
  <c r="N41" i="3" s="1"/>
  <c r="I42" i="16"/>
  <c r="P42" i="16" s="1"/>
  <c r="H42" i="16"/>
  <c r="S42" i="16"/>
  <c r="T41" i="3" l="1"/>
  <c r="V41" i="3" s="1"/>
  <c r="W41" i="3" s="1"/>
  <c r="D42" i="3"/>
  <c r="N42" i="16"/>
  <c r="O42" i="16" s="1"/>
  <c r="U42" i="16" s="1"/>
  <c r="V42" i="16" s="1"/>
  <c r="G43" i="16" s="1"/>
  <c r="J42" i="3"/>
  <c r="H42" i="3" l="1"/>
  <c r="O42" i="3" s="1"/>
  <c r="G42" i="3"/>
  <c r="W42" i="16"/>
  <c r="D43" i="16"/>
  <c r="L43" i="16"/>
  <c r="Q42" i="3"/>
  <c r="K42" i="3" l="1"/>
  <c r="L42" i="3" s="1"/>
  <c r="R42" i="3" s="1"/>
  <c r="S42" i="3" s="1"/>
  <c r="F43" i="3" s="1"/>
  <c r="M42" i="3"/>
  <c r="N42" i="3" s="1"/>
  <c r="H43" i="16"/>
  <c r="I43" i="16"/>
  <c r="P43" i="16" s="1"/>
  <c r="S43" i="16"/>
  <c r="T42" i="3" l="1"/>
  <c r="V42" i="3" s="1"/>
  <c r="W42" i="3" s="1"/>
  <c r="D43" i="3"/>
  <c r="N43" i="16"/>
  <c r="O43" i="16" s="1"/>
  <c r="U43" i="16" s="1"/>
  <c r="V43" i="16" s="1"/>
  <c r="G44" i="16" s="1"/>
  <c r="J43" i="3"/>
  <c r="H43" i="3" l="1"/>
  <c r="O43" i="3" s="1"/>
  <c r="G43" i="3"/>
  <c r="W43" i="16"/>
  <c r="D44" i="16"/>
  <c r="L44" i="16"/>
  <c r="Q43" i="3"/>
  <c r="K43" i="3" l="1"/>
  <c r="L43" i="3" s="1"/>
  <c r="R43" i="3" s="1"/>
  <c r="S43" i="3" s="1"/>
  <c r="F44" i="3" s="1"/>
  <c r="M43" i="3"/>
  <c r="N43" i="3" s="1"/>
  <c r="I44" i="16"/>
  <c r="P44" i="16" s="1"/>
  <c r="H44" i="16"/>
  <c r="S44" i="16"/>
  <c r="T43" i="3" l="1"/>
  <c r="V43" i="3" s="1"/>
  <c r="W43" i="3" s="1"/>
  <c r="D44" i="3"/>
  <c r="N44" i="16"/>
  <c r="O44" i="16" s="1"/>
  <c r="U44" i="16" s="1"/>
  <c r="V44" i="16" s="1"/>
  <c r="G45" i="16" s="1"/>
  <c r="J44" i="3"/>
  <c r="H44" i="3" l="1"/>
  <c r="O44" i="3" s="1"/>
  <c r="G44" i="3"/>
  <c r="W44" i="16"/>
  <c r="D45" i="16"/>
  <c r="L45" i="16"/>
  <c r="Q44" i="3"/>
  <c r="K44" i="3" l="1"/>
  <c r="L44" i="3" s="1"/>
  <c r="R44" i="3" s="1"/>
  <c r="S44" i="3" s="1"/>
  <c r="F45" i="3" s="1"/>
  <c r="M44" i="3"/>
  <c r="N44" i="3" s="1"/>
  <c r="H45" i="16"/>
  <c r="I45" i="16"/>
  <c r="P45" i="16" s="1"/>
  <c r="S45" i="16"/>
  <c r="T44" i="3" l="1"/>
  <c r="V44" i="3" s="1"/>
  <c r="W44" i="3" s="1"/>
  <c r="D45" i="3"/>
  <c r="N45" i="16"/>
  <c r="O45" i="16" s="1"/>
  <c r="U45" i="16" s="1"/>
  <c r="V45" i="16" s="1"/>
  <c r="G46" i="16" s="1"/>
  <c r="J45" i="3"/>
  <c r="H45" i="3" l="1"/>
  <c r="O45" i="3" s="1"/>
  <c r="G45" i="3"/>
  <c r="W45" i="16"/>
  <c r="D46" i="16"/>
  <c r="L46" i="16"/>
  <c r="Q45" i="3"/>
  <c r="K45" i="3" l="1"/>
  <c r="L45" i="3" s="1"/>
  <c r="R45" i="3" s="1"/>
  <c r="S45" i="3" s="1"/>
  <c r="F46" i="3" s="1"/>
  <c r="M45" i="3"/>
  <c r="N45" i="3" s="1"/>
  <c r="I46" i="16"/>
  <c r="P46" i="16" s="1"/>
  <c r="H46" i="16"/>
  <c r="S46" i="16"/>
  <c r="T45" i="3" l="1"/>
  <c r="V45" i="3" s="1"/>
  <c r="W45" i="3" s="1"/>
  <c r="D46" i="3"/>
  <c r="N46" i="16"/>
  <c r="O46" i="16" s="1"/>
  <c r="U46" i="16" s="1"/>
  <c r="V46" i="16" s="1"/>
  <c r="G47" i="16" s="1"/>
  <c r="J46" i="3"/>
  <c r="G46" i="3" l="1"/>
  <c r="H46" i="3"/>
  <c r="O46" i="3" s="1"/>
  <c r="W46" i="16"/>
  <c r="D47" i="16"/>
  <c r="L47" i="16"/>
  <c r="Q46" i="3"/>
  <c r="K46" i="3" l="1"/>
  <c r="L46" i="3" s="1"/>
  <c r="R46" i="3" s="1"/>
  <c r="S46" i="3" s="1"/>
  <c r="F47" i="3" s="1"/>
  <c r="M46" i="3"/>
  <c r="N46" i="3" s="1"/>
  <c r="I47" i="16"/>
  <c r="P47" i="16" s="1"/>
  <c r="H47" i="16"/>
  <c r="S47" i="16"/>
  <c r="T46" i="3" l="1"/>
  <c r="V46" i="3" s="1"/>
  <c r="W46" i="3" s="1"/>
  <c r="D47" i="3"/>
  <c r="N47" i="16"/>
  <c r="O47" i="16" s="1"/>
  <c r="U47" i="16" s="1"/>
  <c r="V47" i="16" s="1"/>
  <c r="G48" i="16" s="1"/>
  <c r="J47" i="3"/>
  <c r="H47" i="3" l="1"/>
  <c r="O47" i="3" s="1"/>
  <c r="G47" i="3"/>
  <c r="W47" i="16"/>
  <c r="D48" i="16"/>
  <c r="L48" i="16"/>
  <c r="Q47" i="3"/>
  <c r="K47" i="3" l="1"/>
  <c r="L47" i="3" s="1"/>
  <c r="R47" i="3" s="1"/>
  <c r="S47" i="3" s="1"/>
  <c r="F48" i="3" s="1"/>
  <c r="M47" i="3"/>
  <c r="N47" i="3" s="1"/>
  <c r="H48" i="16"/>
  <c r="I48" i="16"/>
  <c r="P48" i="16" s="1"/>
  <c r="S48" i="16"/>
  <c r="T47" i="3" l="1"/>
  <c r="V47" i="3" s="1"/>
  <c r="W47" i="3" s="1"/>
  <c r="D48" i="3"/>
  <c r="N48" i="16"/>
  <c r="O48" i="16" s="1"/>
  <c r="U48" i="16" s="1"/>
  <c r="V48" i="16" s="1"/>
  <c r="G49" i="16" s="1"/>
  <c r="J48" i="3"/>
  <c r="H48" i="3" l="1"/>
  <c r="O48" i="3" s="1"/>
  <c r="G48" i="3"/>
  <c r="W48" i="16"/>
  <c r="D49" i="16"/>
  <c r="L49" i="16"/>
  <c r="Q48" i="3"/>
  <c r="K48" i="3" l="1"/>
  <c r="L48" i="3" s="1"/>
  <c r="R48" i="3" s="1"/>
  <c r="S48" i="3" s="1"/>
  <c r="F49" i="3" s="1"/>
  <c r="M48" i="3"/>
  <c r="N48" i="3" s="1"/>
  <c r="I49" i="16"/>
  <c r="P49" i="16" s="1"/>
  <c r="H49" i="16"/>
  <c r="S49" i="16"/>
  <c r="T48" i="3" l="1"/>
  <c r="V48" i="3" s="1"/>
  <c r="W48" i="3" s="1"/>
  <c r="D49" i="3"/>
  <c r="N49" i="16"/>
  <c r="O49" i="16" s="1"/>
  <c r="U49" i="16" s="1"/>
  <c r="V49" i="16" s="1"/>
  <c r="G50" i="16" s="1"/>
  <c r="J49" i="3"/>
  <c r="H49" i="3" l="1"/>
  <c r="O49" i="3" s="1"/>
  <c r="G49" i="3"/>
  <c r="W49" i="16"/>
  <c r="D50" i="16"/>
  <c r="L50" i="16"/>
  <c r="Q49" i="3"/>
  <c r="K49" i="3" l="1"/>
  <c r="L49" i="3" s="1"/>
  <c r="R49" i="3" s="1"/>
  <c r="S49" i="3" s="1"/>
  <c r="F50" i="3" s="1"/>
  <c r="M49" i="3"/>
  <c r="N49" i="3" s="1"/>
  <c r="H50" i="16"/>
  <c r="I50" i="16"/>
  <c r="P50" i="16" s="1"/>
  <c r="S50" i="16"/>
  <c r="T49" i="3" l="1"/>
  <c r="V49" i="3" s="1"/>
  <c r="W49" i="3" s="1"/>
  <c r="D50" i="3"/>
  <c r="N50" i="16"/>
  <c r="O50" i="16" s="1"/>
  <c r="U50" i="16" s="1"/>
  <c r="V50" i="16" s="1"/>
  <c r="G51" i="16" s="1"/>
  <c r="J50" i="3"/>
  <c r="G50" i="3" l="1"/>
  <c r="H50" i="3"/>
  <c r="O50" i="3" s="1"/>
  <c r="W50" i="16"/>
  <c r="D51" i="16"/>
  <c r="L51" i="16"/>
  <c r="Q50" i="3"/>
  <c r="K50" i="3" l="1"/>
  <c r="L50" i="3" s="1"/>
  <c r="R50" i="3" s="1"/>
  <c r="S50" i="3" s="1"/>
  <c r="F51" i="3" s="1"/>
  <c r="M50" i="3"/>
  <c r="N50" i="3" s="1"/>
  <c r="H51" i="16"/>
  <c r="I51" i="16"/>
  <c r="P51" i="16" s="1"/>
  <c r="S51" i="16"/>
  <c r="T50" i="3" l="1"/>
  <c r="V50" i="3" s="1"/>
  <c r="W50" i="3" s="1"/>
  <c r="D51" i="3"/>
  <c r="N51" i="16"/>
  <c r="O51" i="16" s="1"/>
  <c r="U51" i="16" s="1"/>
  <c r="V51" i="16" s="1"/>
  <c r="G52" i="16" s="1"/>
  <c r="J51" i="3"/>
  <c r="H51" i="3" l="1"/>
  <c r="O51" i="3" s="1"/>
  <c r="G51" i="3"/>
  <c r="W51" i="16"/>
  <c r="D52" i="16"/>
  <c r="L52" i="16"/>
  <c r="Q51" i="3"/>
  <c r="K51" i="3" l="1"/>
  <c r="L51" i="3" s="1"/>
  <c r="R51" i="3" s="1"/>
  <c r="S51" i="3" s="1"/>
  <c r="F52" i="3" s="1"/>
  <c r="M51" i="3"/>
  <c r="N51" i="3" s="1"/>
  <c r="H52" i="16"/>
  <c r="I52" i="16"/>
  <c r="P52" i="16" s="1"/>
  <c r="S52" i="16"/>
  <c r="T51" i="3" l="1"/>
  <c r="V51" i="3" s="1"/>
  <c r="W51" i="3" s="1"/>
  <c r="D52" i="3"/>
  <c r="N52" i="16"/>
  <c r="O52" i="16" s="1"/>
  <c r="U52" i="16" s="1"/>
  <c r="V52" i="16" s="1"/>
  <c r="G53" i="16" s="1"/>
  <c r="J52" i="3"/>
  <c r="G52" i="3" l="1"/>
  <c r="H52" i="3"/>
  <c r="O52" i="3" s="1"/>
  <c r="W52" i="16"/>
  <c r="D53" i="16"/>
  <c r="L53" i="16"/>
  <c r="Q52" i="3"/>
  <c r="K52" i="3" l="1"/>
  <c r="L52" i="3" s="1"/>
  <c r="R52" i="3" s="1"/>
  <c r="S52" i="3" s="1"/>
  <c r="F53" i="3" s="1"/>
  <c r="M52" i="3"/>
  <c r="N52" i="3" s="1"/>
  <c r="I53" i="16"/>
  <c r="P53" i="16" s="1"/>
  <c r="H53" i="16"/>
  <c r="S53" i="16"/>
  <c r="T52" i="3" l="1"/>
  <c r="V52" i="3" s="1"/>
  <c r="W52" i="3" s="1"/>
  <c r="D53" i="3"/>
  <c r="N53" i="16"/>
  <c r="O53" i="16" s="1"/>
  <c r="U53" i="16" s="1"/>
  <c r="V53" i="16" s="1"/>
  <c r="G54" i="16" s="1"/>
  <c r="J53" i="3"/>
  <c r="H53" i="3" l="1"/>
  <c r="O53" i="3" s="1"/>
  <c r="G53" i="3"/>
  <c r="W53" i="16"/>
  <c r="D54" i="16"/>
  <c r="L54" i="16"/>
  <c r="Q53" i="3"/>
  <c r="K53" i="3" l="1"/>
  <c r="L53" i="3" s="1"/>
  <c r="R53" i="3" s="1"/>
  <c r="S53" i="3" s="1"/>
  <c r="F54" i="3" s="1"/>
  <c r="M53" i="3"/>
  <c r="N53" i="3" s="1"/>
  <c r="H54" i="16"/>
  <c r="I54" i="16"/>
  <c r="P54" i="16" s="1"/>
  <c r="S54" i="16"/>
  <c r="T53" i="3" l="1"/>
  <c r="V53" i="3" s="1"/>
  <c r="W53" i="3" s="1"/>
  <c r="D54" i="3"/>
  <c r="N54" i="16"/>
  <c r="O54" i="16" s="1"/>
  <c r="U54" i="16" s="1"/>
  <c r="V54" i="16" s="1"/>
  <c r="G55" i="16" s="1"/>
  <c r="J54" i="3"/>
  <c r="G54" i="3" l="1"/>
  <c r="H54" i="3"/>
  <c r="O54" i="3" s="1"/>
  <c r="W54" i="16"/>
  <c r="D55" i="16"/>
  <c r="L55" i="16"/>
  <c r="Q54" i="3"/>
  <c r="K54" i="3" l="1"/>
  <c r="L54" i="3" s="1"/>
  <c r="R54" i="3" s="1"/>
  <c r="S54" i="3" s="1"/>
  <c r="F55" i="3" s="1"/>
  <c r="M54" i="3"/>
  <c r="N54" i="3" s="1"/>
  <c r="I55" i="16"/>
  <c r="P55" i="16" s="1"/>
  <c r="H55" i="16"/>
  <c r="S55" i="16"/>
  <c r="T54" i="3" l="1"/>
  <c r="V54" i="3" s="1"/>
  <c r="W54" i="3" s="1"/>
  <c r="D55" i="3"/>
  <c r="N55" i="16"/>
  <c r="O55" i="16" s="1"/>
  <c r="U55" i="16" s="1"/>
  <c r="V55" i="16" s="1"/>
  <c r="G56" i="16" s="1"/>
  <c r="J55" i="3"/>
  <c r="G55" i="3" l="1"/>
  <c r="H55" i="3"/>
  <c r="O55" i="3" s="1"/>
  <c r="D56" i="16"/>
  <c r="W55" i="16"/>
  <c r="L56" i="16"/>
  <c r="Q55" i="3"/>
  <c r="K55" i="3" l="1"/>
  <c r="L55" i="3" s="1"/>
  <c r="R55" i="3" s="1"/>
  <c r="S55" i="3" s="1"/>
  <c r="F56" i="3" s="1"/>
  <c r="M55" i="3"/>
  <c r="N55" i="3" s="1"/>
  <c r="I56" i="16"/>
  <c r="P56" i="16" s="1"/>
  <c r="H56" i="16"/>
  <c r="S56" i="16"/>
  <c r="T55" i="3" l="1"/>
  <c r="V55" i="3" s="1"/>
  <c r="W55" i="3" s="1"/>
  <c r="D56" i="3"/>
  <c r="N56" i="16"/>
  <c r="O56" i="16" s="1"/>
  <c r="U56" i="16" s="1"/>
  <c r="V56" i="16" s="1"/>
  <c r="G57" i="16" s="1"/>
  <c r="J56" i="3"/>
  <c r="G56" i="3" l="1"/>
  <c r="H56" i="3"/>
  <c r="O56" i="3" s="1"/>
  <c r="D57" i="16"/>
  <c r="W56" i="16"/>
  <c r="L57" i="16"/>
  <c r="Q56" i="3"/>
  <c r="K56" i="3" l="1"/>
  <c r="L56" i="3" s="1"/>
  <c r="R56" i="3" s="1"/>
  <c r="S56" i="3" s="1"/>
  <c r="F57" i="3" s="1"/>
  <c r="M56" i="3"/>
  <c r="N56" i="3" s="1"/>
  <c r="H57" i="16"/>
  <c r="I57" i="16"/>
  <c r="P57" i="16" s="1"/>
  <c r="S57" i="16"/>
  <c r="T56" i="3" l="1"/>
  <c r="V56" i="3" s="1"/>
  <c r="W56" i="3" s="1"/>
  <c r="D57" i="3"/>
  <c r="N57" i="16"/>
  <c r="O57" i="16" s="1"/>
  <c r="U57" i="16" s="1"/>
  <c r="V57" i="16" s="1"/>
  <c r="G58" i="16" s="1"/>
  <c r="J57" i="3"/>
  <c r="G57" i="3" l="1"/>
  <c r="H57" i="3"/>
  <c r="O57" i="3" s="1"/>
  <c r="W57" i="16"/>
  <c r="D58" i="16"/>
  <c r="L58" i="16"/>
  <c r="Q57" i="3"/>
  <c r="K57" i="3" l="1"/>
  <c r="L57" i="3" s="1"/>
  <c r="R57" i="3" s="1"/>
  <c r="S57" i="3" s="1"/>
  <c r="F58" i="3" s="1"/>
  <c r="M57" i="3"/>
  <c r="N57" i="3" s="1"/>
  <c r="H58" i="16"/>
  <c r="I58" i="16"/>
  <c r="P58" i="16" s="1"/>
  <c r="S58" i="16"/>
  <c r="T57" i="3" l="1"/>
  <c r="V57" i="3" s="1"/>
  <c r="W57" i="3" s="1"/>
  <c r="D58" i="3"/>
  <c r="N58" i="16"/>
  <c r="O58" i="16" s="1"/>
  <c r="U58" i="16" s="1"/>
  <c r="V58" i="16" s="1"/>
  <c r="G59" i="16" s="1"/>
  <c r="J58" i="3"/>
  <c r="H58" i="3" l="1"/>
  <c r="O58" i="3" s="1"/>
  <c r="G58" i="3"/>
  <c r="W58" i="16"/>
  <c r="D59" i="16"/>
  <c r="L59" i="16"/>
  <c r="Q58" i="3"/>
  <c r="M58" i="3" l="1"/>
  <c r="N58" i="3" s="1"/>
  <c r="K58" i="3"/>
  <c r="L58" i="3" s="1"/>
  <c r="R58" i="3" s="1"/>
  <c r="S58" i="3" s="1"/>
  <c r="F59" i="3" s="1"/>
  <c r="H59" i="16"/>
  <c r="I59" i="16"/>
  <c r="P59" i="16" s="1"/>
  <c r="S59" i="16"/>
  <c r="D59" i="3" l="1"/>
  <c r="T58" i="3"/>
  <c r="N59" i="16"/>
  <c r="O59" i="16" s="1"/>
  <c r="U59" i="16" s="1"/>
  <c r="V59" i="16" s="1"/>
  <c r="G60" i="16" s="1"/>
  <c r="J59" i="3"/>
  <c r="V58" i="3" l="1"/>
  <c r="W58" i="3" s="1"/>
  <c r="G59" i="3"/>
  <c r="H59" i="3"/>
  <c r="O59" i="3" s="1"/>
  <c r="W59" i="16"/>
  <c r="D60" i="16"/>
  <c r="L60" i="16"/>
  <c r="Q59" i="3"/>
  <c r="M59" i="3" l="1"/>
  <c r="N59" i="3" s="1"/>
  <c r="K59" i="3"/>
  <c r="L59" i="3" s="1"/>
  <c r="R59" i="3" s="1"/>
  <c r="S59" i="3" s="1"/>
  <c r="F60" i="3" s="1"/>
  <c r="H60" i="16"/>
  <c r="I60" i="16"/>
  <c r="P60" i="16" s="1"/>
  <c r="S60" i="16"/>
  <c r="D60" i="3" l="1"/>
  <c r="T59" i="3"/>
  <c r="N60" i="16"/>
  <c r="O60" i="16" s="1"/>
  <c r="U60" i="16" s="1"/>
  <c r="V60" i="16" s="1"/>
  <c r="G61" i="16" s="1"/>
  <c r="J60" i="3"/>
  <c r="V59" i="3" l="1"/>
  <c r="W59" i="3" s="1"/>
  <c r="H60" i="3"/>
  <c r="O60" i="3" s="1"/>
  <c r="G60" i="3"/>
  <c r="W60" i="16"/>
  <c r="D61" i="16"/>
  <c r="L61" i="16"/>
  <c r="Q60" i="3"/>
  <c r="M60" i="3" l="1"/>
  <c r="N60" i="3" s="1"/>
  <c r="K60" i="3"/>
  <c r="L60" i="3" s="1"/>
  <c r="R60" i="3" s="1"/>
  <c r="S60" i="3" s="1"/>
  <c r="F61" i="3" s="1"/>
  <c r="H61" i="16"/>
  <c r="I61" i="16"/>
  <c r="P61" i="16" s="1"/>
  <c r="S61" i="16"/>
  <c r="D61" i="3" l="1"/>
  <c r="T60" i="3"/>
  <c r="N61" i="16"/>
  <c r="O61" i="16" s="1"/>
  <c r="U61" i="16" s="1"/>
  <c r="V61" i="16" s="1"/>
  <c r="G62" i="16" s="1"/>
  <c r="J61" i="3"/>
  <c r="V60" i="3" l="1"/>
  <c r="W60" i="3" s="1"/>
  <c r="G61" i="3"/>
  <c r="H61" i="3"/>
  <c r="O61" i="3" s="1"/>
  <c r="W61" i="16"/>
  <c r="D62" i="16"/>
  <c r="L62" i="16"/>
  <c r="Q61" i="3"/>
  <c r="K61" i="3" l="1"/>
  <c r="L61" i="3" s="1"/>
  <c r="R61" i="3" s="1"/>
  <c r="S61" i="3" s="1"/>
  <c r="F62" i="3" s="1"/>
  <c r="M61" i="3"/>
  <c r="N61" i="3" s="1"/>
  <c r="H62" i="16"/>
  <c r="I62" i="16"/>
  <c r="P62" i="16" s="1"/>
  <c r="S62" i="16"/>
  <c r="T61" i="3" l="1"/>
  <c r="V61" i="3" s="1"/>
  <c r="W61" i="3" s="1"/>
  <c r="D62" i="3"/>
  <c r="N62" i="16"/>
  <c r="O62" i="16" s="1"/>
  <c r="U62" i="16" s="1"/>
  <c r="V62" i="16" s="1"/>
  <c r="J62" i="3"/>
  <c r="H62" i="3" l="1"/>
  <c r="O62" i="3" s="1"/>
  <c r="G62" i="3"/>
  <c r="G63" i="16"/>
  <c r="L63" i="16" s="1"/>
  <c r="S63" i="16" s="1"/>
  <c r="W62" i="16"/>
  <c r="D63" i="16"/>
  <c r="Q62" i="3"/>
  <c r="K62" i="3" l="1"/>
  <c r="L62" i="3" s="1"/>
  <c r="R62" i="3" s="1"/>
  <c r="S62" i="3" s="1"/>
  <c r="F63" i="3" s="1"/>
  <c r="M62" i="3"/>
  <c r="N62" i="3" s="1"/>
  <c r="I63" i="16"/>
  <c r="P63" i="16" s="1"/>
  <c r="H63" i="16"/>
  <c r="T62" i="3" l="1"/>
  <c r="V62" i="3" s="1"/>
  <c r="W62" i="3" s="1"/>
  <c r="D63" i="3"/>
  <c r="N63" i="16"/>
  <c r="O63" i="16" s="1"/>
  <c r="U63" i="16" s="1"/>
  <c r="V63" i="16" s="1"/>
  <c r="G64" i="16" s="1"/>
  <c r="L64" i="16" s="1"/>
  <c r="J63" i="3"/>
  <c r="G63" i="3" l="1"/>
  <c r="H63" i="3"/>
  <c r="O63" i="3" s="1"/>
  <c r="D64" i="16"/>
  <c r="I64" i="16" s="1"/>
  <c r="P64" i="16" s="1"/>
  <c r="W63" i="16"/>
  <c r="S64" i="16"/>
  <c r="Q63" i="3"/>
  <c r="K63" i="3" l="1"/>
  <c r="L63" i="3" s="1"/>
  <c r="R63" i="3" s="1"/>
  <c r="S63" i="3" s="1"/>
  <c r="F64" i="3" s="1"/>
  <c r="M63" i="3"/>
  <c r="N63" i="3" s="1"/>
  <c r="H64" i="16"/>
  <c r="N64" i="16" s="1"/>
  <c r="O64" i="16" s="1"/>
  <c r="U64" i="16" s="1"/>
  <c r="V64" i="16" s="1"/>
  <c r="G65" i="16" s="1"/>
  <c r="T63" i="3" l="1"/>
  <c r="V63" i="3" s="1"/>
  <c r="W63" i="3" s="1"/>
  <c r="D64" i="3"/>
  <c r="W64" i="16"/>
  <c r="D65" i="16"/>
  <c r="L65" i="16"/>
  <c r="J64" i="3"/>
  <c r="H64" i="3" l="1"/>
  <c r="O64" i="3" s="1"/>
  <c r="G64" i="3"/>
  <c r="H65" i="16"/>
  <c r="I65" i="16"/>
  <c r="P65" i="16" s="1"/>
  <c r="S65" i="16"/>
  <c r="Q64" i="3"/>
  <c r="M64" i="3" l="1"/>
  <c r="N64" i="3" s="1"/>
  <c r="K64" i="3"/>
  <c r="L64" i="3" s="1"/>
  <c r="R64" i="3" s="1"/>
  <c r="S64" i="3" s="1"/>
  <c r="F65" i="3" s="1"/>
  <c r="N65" i="16"/>
  <c r="O65" i="16" s="1"/>
  <c r="U65" i="16" s="1"/>
  <c r="V65" i="16" s="1"/>
  <c r="G66" i="16" s="1"/>
  <c r="T64" i="3" l="1"/>
  <c r="D65" i="3"/>
  <c r="W65" i="16"/>
  <c r="D66" i="16"/>
  <c r="L66" i="16"/>
  <c r="J65" i="3"/>
  <c r="V64" i="3" l="1"/>
  <c r="W64" i="3" s="1"/>
  <c r="H65" i="3"/>
  <c r="O65" i="3" s="1"/>
  <c r="G65" i="3"/>
  <c r="H66" i="16"/>
  <c r="I66" i="16"/>
  <c r="P66" i="16" s="1"/>
  <c r="S66" i="16"/>
  <c r="Q65" i="3"/>
  <c r="K65" i="3" l="1"/>
  <c r="L65" i="3" s="1"/>
  <c r="R65" i="3" s="1"/>
  <c r="S65" i="3" s="1"/>
  <c r="F66" i="3" s="1"/>
  <c r="M65" i="3"/>
  <c r="N65" i="3" s="1"/>
  <c r="N66" i="16"/>
  <c r="O66" i="16" s="1"/>
  <c r="U66" i="16" s="1"/>
  <c r="V66" i="16" s="1"/>
  <c r="G67" i="16" s="1"/>
  <c r="T65" i="3" l="1"/>
  <c r="V65" i="3" s="1"/>
  <c r="W65" i="3" s="1"/>
  <c r="D66" i="3"/>
  <c r="W66" i="16"/>
  <c r="D67" i="16"/>
  <c r="L67" i="16"/>
  <c r="J66" i="3"/>
  <c r="G66" i="3" l="1"/>
  <c r="H66" i="3"/>
  <c r="O66" i="3" s="1"/>
  <c r="H67" i="16"/>
  <c r="I67" i="16"/>
  <c r="P67" i="16" s="1"/>
  <c r="S67" i="16"/>
  <c r="Q66" i="3"/>
  <c r="K66" i="3" l="1"/>
  <c r="L66" i="3" s="1"/>
  <c r="R66" i="3" s="1"/>
  <c r="S66" i="3" s="1"/>
  <c r="F67" i="3" s="1"/>
  <c r="M66" i="3"/>
  <c r="N66" i="3" s="1"/>
  <c r="N67" i="16"/>
  <c r="O67" i="16" s="1"/>
  <c r="U67" i="16" s="1"/>
  <c r="V67" i="16" s="1"/>
  <c r="G68" i="16" s="1"/>
  <c r="T66" i="3" l="1"/>
  <c r="V66" i="3" s="1"/>
  <c r="W66" i="3" s="1"/>
  <c r="D67" i="3"/>
  <c r="W67" i="16"/>
  <c r="D68" i="16"/>
  <c r="L68" i="16"/>
  <c r="J67" i="3"/>
  <c r="G67" i="3" l="1"/>
  <c r="M67" i="3" s="1"/>
  <c r="N67" i="3" s="1"/>
  <c r="H67" i="3"/>
  <c r="O67" i="3" s="1"/>
  <c r="I68" i="16"/>
  <c r="P68" i="16" s="1"/>
  <c r="H68" i="16"/>
  <c r="S68" i="16"/>
  <c r="Q67" i="3"/>
  <c r="K67" i="3" l="1"/>
  <c r="L67" i="3" s="1"/>
  <c r="R67" i="3" s="1"/>
  <c r="S67" i="3" s="1"/>
  <c r="F68" i="3" s="1"/>
  <c r="N68" i="16"/>
  <c r="O68" i="16" s="1"/>
  <c r="U68" i="16" s="1"/>
  <c r="V68" i="16" s="1"/>
  <c r="G69" i="16" s="1"/>
  <c r="T67" i="3" l="1"/>
  <c r="V67" i="3" s="1"/>
  <c r="W67" i="3" s="1"/>
  <c r="D68" i="3"/>
  <c r="W68" i="16"/>
  <c r="D69" i="16"/>
  <c r="L69" i="16"/>
  <c r="J68" i="3"/>
  <c r="H68" i="3" l="1"/>
  <c r="O68" i="3" s="1"/>
  <c r="G68" i="3"/>
  <c r="M68" i="3" s="1"/>
  <c r="N68" i="3" s="1"/>
  <c r="I69" i="16"/>
  <c r="P69" i="16" s="1"/>
  <c r="H69" i="16"/>
  <c r="S69" i="16"/>
  <c r="Q68" i="3"/>
  <c r="K68" i="3" l="1"/>
  <c r="L68" i="3" s="1"/>
  <c r="R68" i="3" s="1"/>
  <c r="S68" i="3" s="1"/>
  <c r="F69" i="3" s="1"/>
  <c r="N69" i="16"/>
  <c r="O69" i="16" s="1"/>
  <c r="U69" i="16" s="1"/>
  <c r="V69" i="16" s="1"/>
  <c r="G70" i="16" s="1"/>
  <c r="T68" i="3" l="1"/>
  <c r="V68" i="3" s="1"/>
  <c r="W68" i="3" s="1"/>
  <c r="D69" i="3"/>
  <c r="W69" i="16"/>
  <c r="D70" i="16"/>
  <c r="L70" i="16"/>
  <c r="J69" i="3"/>
  <c r="H69" i="3" l="1"/>
  <c r="O69" i="3" s="1"/>
  <c r="G69" i="3"/>
  <c r="M69" i="3" s="1"/>
  <c r="N69" i="3" s="1"/>
  <c r="H70" i="16"/>
  <c r="I70" i="16"/>
  <c r="P70" i="16" s="1"/>
  <c r="S70" i="16"/>
  <c r="Q69" i="3"/>
  <c r="K69" i="3" l="1"/>
  <c r="L69" i="3" s="1"/>
  <c r="R69" i="3" s="1"/>
  <c r="S69" i="3" s="1"/>
  <c r="F70" i="3" s="1"/>
  <c r="N70" i="16"/>
  <c r="O70" i="16" s="1"/>
  <c r="U70" i="16" s="1"/>
  <c r="V70" i="16" s="1"/>
  <c r="G71" i="16" s="1"/>
  <c r="T69" i="3" l="1"/>
  <c r="V69" i="3" s="1"/>
  <c r="W69" i="3" s="1"/>
  <c r="D70" i="3"/>
  <c r="W70" i="16"/>
  <c r="D71" i="16"/>
  <c r="L71" i="16"/>
  <c r="J70" i="3"/>
  <c r="G70" i="3" l="1"/>
  <c r="M70" i="3" s="1"/>
  <c r="N70" i="3" s="1"/>
  <c r="H70" i="3"/>
  <c r="O70" i="3" s="1"/>
  <c r="H71" i="16"/>
  <c r="I71" i="16"/>
  <c r="P71" i="16" s="1"/>
  <c r="S71" i="16"/>
  <c r="Q70" i="3"/>
  <c r="K70" i="3" l="1"/>
  <c r="L70" i="3" s="1"/>
  <c r="R70" i="3" s="1"/>
  <c r="S70" i="3" s="1"/>
  <c r="F71" i="3" s="1"/>
  <c r="N71" i="16"/>
  <c r="O71" i="16" s="1"/>
  <c r="U71" i="16" s="1"/>
  <c r="V71" i="16" s="1"/>
  <c r="G72" i="16" s="1"/>
  <c r="T70" i="3" l="1"/>
  <c r="D71" i="3"/>
  <c r="W71" i="16"/>
  <c r="D72" i="16"/>
  <c r="L72" i="16"/>
  <c r="J71" i="3"/>
  <c r="V70" i="3" l="1"/>
  <c r="W70" i="3" s="1"/>
  <c r="H71" i="3"/>
  <c r="O71" i="3" s="1"/>
  <c r="G71" i="3"/>
  <c r="M71" i="3" s="1"/>
  <c r="N71" i="3" s="1"/>
  <c r="I72" i="16"/>
  <c r="P72" i="16" s="1"/>
  <c r="H72" i="16"/>
  <c r="N72" i="16" s="1"/>
  <c r="O72" i="16" s="1"/>
  <c r="U72" i="16" s="1"/>
  <c r="S72" i="16"/>
  <c r="Q71" i="3"/>
  <c r="K71" i="3" l="1"/>
  <c r="L71" i="3" s="1"/>
  <c r="R71" i="3" s="1"/>
  <c r="S71" i="3" s="1"/>
  <c r="F72" i="3" s="1"/>
  <c r="W72" i="16"/>
  <c r="V72" i="16"/>
  <c r="G73" i="16" s="1"/>
  <c r="T71" i="3" l="1"/>
  <c r="V71" i="3" s="1"/>
  <c r="W71" i="3" s="1"/>
  <c r="D72" i="3"/>
  <c r="D73" i="16"/>
  <c r="L73" i="16"/>
  <c r="J72" i="3"/>
  <c r="H72" i="3" l="1"/>
  <c r="O72" i="3" s="1"/>
  <c r="G72" i="3"/>
  <c r="M72" i="3" s="1"/>
  <c r="N72" i="3" s="1"/>
  <c r="H73" i="16"/>
  <c r="I73" i="16"/>
  <c r="P73" i="16" s="1"/>
  <c r="S73" i="16"/>
  <c r="Q72" i="3"/>
  <c r="K72" i="3" l="1"/>
  <c r="L72" i="3" s="1"/>
  <c r="R72" i="3" s="1"/>
  <c r="S72" i="3" s="1"/>
  <c r="F73" i="3" s="1"/>
  <c r="N73" i="16"/>
  <c r="O73" i="16" s="1"/>
  <c r="U73" i="16" s="1"/>
  <c r="V73" i="16" s="1"/>
  <c r="G74" i="16" s="1"/>
  <c r="L74" i="16" s="1"/>
  <c r="T72" i="3" l="1"/>
  <c r="V72" i="3" s="1"/>
  <c r="W72" i="3" s="1"/>
  <c r="D73" i="3"/>
  <c r="W73" i="16"/>
  <c r="D74" i="16"/>
  <c r="S74" i="16"/>
  <c r="J73" i="3"/>
  <c r="G73" i="3" l="1"/>
  <c r="M73" i="3" s="1"/>
  <c r="N73" i="3" s="1"/>
  <c r="H73" i="3"/>
  <c r="O73" i="3" s="1"/>
  <c r="H74" i="16"/>
  <c r="I74" i="16"/>
  <c r="P74" i="16" s="1"/>
  <c r="Q73" i="3"/>
  <c r="K73" i="3" l="1"/>
  <c r="L73" i="3" s="1"/>
  <c r="R73" i="3" s="1"/>
  <c r="S73" i="3" s="1"/>
  <c r="F74" i="3" s="1"/>
  <c r="N74" i="16"/>
  <c r="O74" i="16" s="1"/>
  <c r="U74" i="16" s="1"/>
  <c r="V74" i="16" s="1"/>
  <c r="T73" i="3" l="1"/>
  <c r="V73" i="3" s="1"/>
  <c r="W73" i="3" s="1"/>
  <c r="D74" i="3"/>
  <c r="G75" i="16"/>
  <c r="L75" i="16" s="1"/>
  <c r="S75" i="16" s="1"/>
  <c r="D75" i="16"/>
  <c r="H75" i="16" s="1"/>
  <c r="W74" i="16"/>
  <c r="J74" i="3"/>
  <c r="H74" i="3" l="1"/>
  <c r="O74" i="3" s="1"/>
  <c r="G74" i="3"/>
  <c r="M74" i="3" s="1"/>
  <c r="N74" i="3" s="1"/>
  <c r="I75" i="16"/>
  <c r="P75" i="16" s="1"/>
  <c r="Q74" i="3"/>
  <c r="K74" i="3" l="1"/>
  <c r="L74" i="3" s="1"/>
  <c r="R74" i="3" s="1"/>
  <c r="S74" i="3" s="1"/>
  <c r="F75" i="3" s="1"/>
  <c r="N75" i="16"/>
  <c r="O75" i="16" s="1"/>
  <c r="U75" i="16" s="1"/>
  <c r="V75" i="16" s="1"/>
  <c r="G76" i="16" s="1"/>
  <c r="L76" i="16" s="1"/>
  <c r="D75" i="3" l="1"/>
  <c r="T74" i="3"/>
  <c r="D76" i="16"/>
  <c r="I76" i="16" s="1"/>
  <c r="P76" i="16" s="1"/>
  <c r="W75" i="16"/>
  <c r="S76" i="16"/>
  <c r="J75" i="3"/>
  <c r="V74" i="3" l="1"/>
  <c r="W74" i="3" s="1"/>
  <c r="G75" i="3"/>
  <c r="M75" i="3" s="1"/>
  <c r="N75" i="3" s="1"/>
  <c r="H75" i="3"/>
  <c r="O75" i="3" s="1"/>
  <c r="H76" i="16"/>
  <c r="N76" i="16" s="1"/>
  <c r="O76" i="16" s="1"/>
  <c r="U76" i="16" s="1"/>
  <c r="V76" i="16" s="1"/>
  <c r="G77" i="16" s="1"/>
  <c r="Q75" i="3"/>
  <c r="K75" i="3" l="1"/>
  <c r="L75" i="3" s="1"/>
  <c r="R75" i="3" s="1"/>
  <c r="S75" i="3" s="1"/>
  <c r="F76" i="3" s="1"/>
  <c r="W76" i="16"/>
  <c r="D77" i="16"/>
  <c r="L77" i="16"/>
  <c r="T75" i="3" l="1"/>
  <c r="V75" i="3" s="1"/>
  <c r="W75" i="3" s="1"/>
  <c r="D76" i="3"/>
  <c r="H77" i="16"/>
  <c r="I77" i="16"/>
  <c r="P77" i="16" s="1"/>
  <c r="S77" i="16"/>
  <c r="J76" i="3"/>
  <c r="G76" i="3" l="1"/>
  <c r="M76" i="3" s="1"/>
  <c r="N76" i="3" s="1"/>
  <c r="H76" i="3"/>
  <c r="O76" i="3" s="1"/>
  <c r="N77" i="16"/>
  <c r="O77" i="16" s="1"/>
  <c r="U77" i="16" s="1"/>
  <c r="V77" i="16" s="1"/>
  <c r="G78" i="16" s="1"/>
  <c r="Q76" i="3"/>
  <c r="K76" i="3" l="1"/>
  <c r="L76" i="3" s="1"/>
  <c r="R76" i="3" s="1"/>
  <c r="S76" i="3" s="1"/>
  <c r="F77" i="3" s="1"/>
  <c r="W77" i="16"/>
  <c r="D78" i="16"/>
  <c r="L78" i="16"/>
  <c r="T76" i="3" l="1"/>
  <c r="V76" i="3" s="1"/>
  <c r="W76" i="3" s="1"/>
  <c r="D77" i="3"/>
  <c r="H78" i="16"/>
  <c r="I78" i="16"/>
  <c r="P78" i="16" s="1"/>
  <c r="S78" i="16"/>
  <c r="J77" i="3"/>
  <c r="G77" i="3" l="1"/>
  <c r="M77" i="3" s="1"/>
  <c r="N77" i="3" s="1"/>
  <c r="H77" i="3"/>
  <c r="O77" i="3" s="1"/>
  <c r="N78" i="16"/>
  <c r="O78" i="16" s="1"/>
  <c r="U78" i="16" s="1"/>
  <c r="V78" i="16" s="1"/>
  <c r="G79" i="16" s="1"/>
  <c r="Q77" i="3"/>
  <c r="K77" i="3" l="1"/>
  <c r="L77" i="3" s="1"/>
  <c r="R77" i="3" s="1"/>
  <c r="S77" i="3" s="1"/>
  <c r="F78" i="3" s="1"/>
  <c r="W78" i="16"/>
  <c r="D79" i="16"/>
  <c r="L79" i="16"/>
  <c r="T77" i="3" l="1"/>
  <c r="V77" i="3" s="1"/>
  <c r="W77" i="3" s="1"/>
  <c r="D78" i="3"/>
  <c r="I79" i="16"/>
  <c r="P79" i="16" s="1"/>
  <c r="H79" i="16"/>
  <c r="N79" i="16" s="1"/>
  <c r="O79" i="16" s="1"/>
  <c r="U79" i="16" s="1"/>
  <c r="S79" i="16"/>
  <c r="J78" i="3"/>
  <c r="G78" i="3" l="1"/>
  <c r="M78" i="3" s="1"/>
  <c r="N78" i="3" s="1"/>
  <c r="H78" i="3"/>
  <c r="O78" i="3" s="1"/>
  <c r="W79" i="16"/>
  <c r="V79" i="16"/>
  <c r="G80" i="16" s="1"/>
  <c r="Q78" i="3"/>
  <c r="K78" i="3" l="1"/>
  <c r="L78" i="3" s="1"/>
  <c r="R78" i="3" s="1"/>
  <c r="S78" i="3" s="1"/>
  <c r="F79" i="3" s="1"/>
  <c r="D80" i="16"/>
  <c r="L80" i="16"/>
  <c r="T78" i="3" l="1"/>
  <c r="V78" i="3" s="1"/>
  <c r="W78" i="3" s="1"/>
  <c r="D79" i="3"/>
  <c r="H80" i="16"/>
  <c r="I80" i="16"/>
  <c r="P80" i="16" s="1"/>
  <c r="S80" i="16"/>
  <c r="J79" i="3"/>
  <c r="G79" i="3" l="1"/>
  <c r="M79" i="3" s="1"/>
  <c r="N79" i="3" s="1"/>
  <c r="H79" i="3"/>
  <c r="O79" i="3" s="1"/>
  <c r="N80" i="16"/>
  <c r="O80" i="16" s="1"/>
  <c r="U80" i="16" s="1"/>
  <c r="V80" i="16" s="1"/>
  <c r="G81" i="16" s="1"/>
  <c r="Q79" i="3"/>
  <c r="K79" i="3" l="1"/>
  <c r="L79" i="3" s="1"/>
  <c r="R79" i="3" s="1"/>
  <c r="S79" i="3" s="1"/>
  <c r="F80" i="3" s="1"/>
  <c r="W80" i="16"/>
  <c r="D81" i="16"/>
  <c r="L81" i="16"/>
  <c r="T79" i="3" l="1"/>
  <c r="V79" i="3" s="1"/>
  <c r="W79" i="3" s="1"/>
  <c r="D80" i="3"/>
  <c r="I81" i="16"/>
  <c r="P81" i="16" s="1"/>
  <c r="H81" i="16"/>
  <c r="S81" i="16"/>
  <c r="J80" i="3"/>
  <c r="H80" i="3" l="1"/>
  <c r="O80" i="3" s="1"/>
  <c r="G80" i="3"/>
  <c r="M80" i="3" s="1"/>
  <c r="N80" i="3" s="1"/>
  <c r="N81" i="16"/>
  <c r="O81" i="16" s="1"/>
  <c r="U81" i="16" s="1"/>
  <c r="V81" i="16" s="1"/>
  <c r="G82" i="16" s="1"/>
  <c r="Q80" i="3"/>
  <c r="K80" i="3" l="1"/>
  <c r="L80" i="3" s="1"/>
  <c r="R80" i="3" s="1"/>
  <c r="S80" i="3" s="1"/>
  <c r="F81" i="3" s="1"/>
  <c r="W81" i="16"/>
  <c r="D82" i="16"/>
  <c r="L82" i="16"/>
  <c r="T80" i="3" l="1"/>
  <c r="V80" i="3" s="1"/>
  <c r="W80" i="3" s="1"/>
  <c r="D81" i="3"/>
  <c r="H82" i="16"/>
  <c r="I82" i="16"/>
  <c r="P82" i="16" s="1"/>
  <c r="S82" i="16"/>
  <c r="J81" i="3"/>
  <c r="G81" i="3" l="1"/>
  <c r="M81" i="3" s="1"/>
  <c r="N81" i="3" s="1"/>
  <c r="H81" i="3"/>
  <c r="O81" i="3" s="1"/>
  <c r="N82" i="16"/>
  <c r="O82" i="16" s="1"/>
  <c r="U82" i="16" s="1"/>
  <c r="V82" i="16" s="1"/>
  <c r="G83" i="16" s="1"/>
  <c r="Q81" i="3"/>
  <c r="K81" i="3" l="1"/>
  <c r="L81" i="3" s="1"/>
  <c r="R81" i="3" s="1"/>
  <c r="S81" i="3" s="1"/>
  <c r="F82" i="3" s="1"/>
  <c r="W82" i="16"/>
  <c r="D83" i="16"/>
  <c r="L83" i="16"/>
  <c r="T81" i="3" l="1"/>
  <c r="V81" i="3" s="1"/>
  <c r="W81" i="3" s="1"/>
  <c r="D82" i="3"/>
  <c r="H82" i="3" s="1"/>
  <c r="O82" i="3" s="1"/>
  <c r="H83" i="16"/>
  <c r="I83" i="16"/>
  <c r="P83" i="16" s="1"/>
  <c r="S83" i="16"/>
  <c r="J82" i="3"/>
  <c r="G82" i="3" l="1"/>
  <c r="M82" i="3" s="1"/>
  <c r="N82" i="3" s="1"/>
  <c r="N83" i="16"/>
  <c r="O83" i="16" s="1"/>
  <c r="U83" i="16" s="1"/>
  <c r="V83" i="16" s="1"/>
  <c r="G84" i="16" s="1"/>
  <c r="Q82" i="3"/>
  <c r="K82" i="3" l="1"/>
  <c r="L82" i="3" s="1"/>
  <c r="R82" i="3" s="1"/>
  <c r="S82" i="3" s="1"/>
  <c r="F83" i="3" s="1"/>
  <c r="W83" i="16"/>
  <c r="D84" i="16"/>
  <c r="L84" i="16"/>
  <c r="T82" i="3" l="1"/>
  <c r="V82" i="3" s="1"/>
  <c r="W82" i="3" s="1"/>
  <c r="D83" i="3"/>
  <c r="J83" i="3"/>
  <c r="H84" i="16"/>
  <c r="I84" i="16"/>
  <c r="P84" i="16" s="1"/>
  <c r="S84" i="16"/>
  <c r="G83" i="3" l="1"/>
  <c r="H83" i="3"/>
  <c r="O83" i="3" s="1"/>
  <c r="N84" i="16"/>
  <c r="O84" i="16" s="1"/>
  <c r="U84" i="16" s="1"/>
  <c r="V84" i="16" s="1"/>
  <c r="G85" i="16" s="1"/>
  <c r="Q83" i="3"/>
  <c r="K83" i="3" l="1"/>
  <c r="L83" i="3" s="1"/>
  <c r="R83" i="3" s="1"/>
  <c r="S83" i="3" s="1"/>
  <c r="F84" i="3" s="1"/>
  <c r="M83" i="3"/>
  <c r="N83" i="3" s="1"/>
  <c r="W84" i="16"/>
  <c r="D85" i="16"/>
  <c r="L85" i="16"/>
  <c r="T83" i="3" l="1"/>
  <c r="V83" i="3" s="1"/>
  <c r="W83" i="3" s="1"/>
  <c r="D84" i="3"/>
  <c r="H85" i="16"/>
  <c r="I85" i="16"/>
  <c r="P85" i="16" s="1"/>
  <c r="S85" i="16"/>
  <c r="J84" i="3"/>
  <c r="H84" i="3" l="1"/>
  <c r="O84" i="3" s="1"/>
  <c r="G84" i="3"/>
  <c r="M84" i="3" s="1"/>
  <c r="N84" i="3" s="1"/>
  <c r="N85" i="16"/>
  <c r="O85" i="16" s="1"/>
  <c r="U85" i="16" s="1"/>
  <c r="V85" i="16" s="1"/>
  <c r="G86" i="16" s="1"/>
  <c r="Q84" i="3"/>
  <c r="K84" i="3" l="1"/>
  <c r="L84" i="3" s="1"/>
  <c r="R84" i="3" s="1"/>
  <c r="S84" i="3" s="1"/>
  <c r="F85" i="3" s="1"/>
  <c r="W85" i="16"/>
  <c r="D86" i="16"/>
  <c r="L86" i="16"/>
  <c r="D85" i="3" l="1"/>
  <c r="T84" i="3"/>
  <c r="I86" i="16"/>
  <c r="P86" i="16" s="1"/>
  <c r="H86" i="16"/>
  <c r="S86" i="16"/>
  <c r="J85" i="3"/>
  <c r="V84" i="3" l="1"/>
  <c r="W84" i="3" s="1"/>
  <c r="G85" i="3"/>
  <c r="M85" i="3" s="1"/>
  <c r="N85" i="3" s="1"/>
  <c r="H85" i="3"/>
  <c r="O85" i="3" s="1"/>
  <c r="N86" i="16"/>
  <c r="O86" i="16" s="1"/>
  <c r="U86" i="16" s="1"/>
  <c r="V86" i="16" s="1"/>
  <c r="G87" i="16" s="1"/>
  <c r="Q85" i="3"/>
  <c r="K85" i="3" l="1"/>
  <c r="L85" i="3" s="1"/>
  <c r="R85" i="3" s="1"/>
  <c r="S85" i="3" s="1"/>
  <c r="F86" i="3" s="1"/>
  <c r="W86" i="16"/>
  <c r="D87" i="16"/>
  <c r="L87" i="16"/>
  <c r="D86" i="3" l="1"/>
  <c r="T85" i="3"/>
  <c r="I87" i="16"/>
  <c r="P87" i="16" s="1"/>
  <c r="H87" i="16"/>
  <c r="S87" i="16"/>
  <c r="J86" i="3"/>
  <c r="V85" i="3" l="1"/>
  <c r="W85" i="3" s="1"/>
  <c r="H86" i="3"/>
  <c r="O86" i="3" s="1"/>
  <c r="G86" i="3"/>
  <c r="M86" i="3" s="1"/>
  <c r="N86" i="3" s="1"/>
  <c r="N87" i="16"/>
  <c r="O87" i="16" s="1"/>
  <c r="U87" i="16" s="1"/>
  <c r="V87" i="16" s="1"/>
  <c r="G88" i="16" s="1"/>
  <c r="Q86" i="3"/>
  <c r="K86" i="3" l="1"/>
  <c r="L86" i="3" s="1"/>
  <c r="R86" i="3" s="1"/>
  <c r="S86" i="3" s="1"/>
  <c r="F87" i="3" s="1"/>
  <c r="W87" i="16"/>
  <c r="D88" i="16"/>
  <c r="L88" i="16"/>
  <c r="D87" i="3" l="1"/>
  <c r="T86" i="3"/>
  <c r="H88" i="16"/>
  <c r="I88" i="16"/>
  <c r="P88" i="16" s="1"/>
  <c r="S88" i="16"/>
  <c r="J87" i="3"/>
  <c r="V86" i="3" l="1"/>
  <c r="W86" i="3" s="1"/>
  <c r="G87" i="3"/>
  <c r="M87" i="3" s="1"/>
  <c r="N87" i="3" s="1"/>
  <c r="H87" i="3"/>
  <c r="O87" i="3" s="1"/>
  <c r="N88" i="16"/>
  <c r="O88" i="16" s="1"/>
  <c r="U88" i="16" s="1"/>
  <c r="V88" i="16" s="1"/>
  <c r="G89" i="16" s="1"/>
  <c r="Q87" i="3"/>
  <c r="K87" i="3" l="1"/>
  <c r="L87" i="3" s="1"/>
  <c r="R87" i="3" s="1"/>
  <c r="S87" i="3" s="1"/>
  <c r="F88" i="3" s="1"/>
  <c r="W88" i="16"/>
  <c r="D89" i="16"/>
  <c r="L89" i="16"/>
  <c r="T87" i="3" l="1"/>
  <c r="D88" i="3"/>
  <c r="H89" i="16"/>
  <c r="I89" i="16"/>
  <c r="P89" i="16" s="1"/>
  <c r="S89" i="16"/>
  <c r="J88" i="3"/>
  <c r="V87" i="3" l="1"/>
  <c r="W87" i="3" s="1"/>
  <c r="G88" i="3"/>
  <c r="M88" i="3" s="1"/>
  <c r="N88" i="3" s="1"/>
  <c r="H88" i="3"/>
  <c r="O88" i="3" s="1"/>
  <c r="N89" i="16"/>
  <c r="O89" i="16" s="1"/>
  <c r="U89" i="16" s="1"/>
  <c r="V89" i="16" s="1"/>
  <c r="G90" i="16" s="1"/>
  <c r="Q88" i="3"/>
  <c r="K88" i="3" l="1"/>
  <c r="L88" i="3" s="1"/>
  <c r="R88" i="3" s="1"/>
  <c r="S88" i="3" s="1"/>
  <c r="F89" i="3" s="1"/>
  <c r="W89" i="16"/>
  <c r="D90" i="16"/>
  <c r="L90" i="16"/>
  <c r="D89" i="3" l="1"/>
  <c r="T88" i="3"/>
  <c r="I90" i="16"/>
  <c r="P90" i="16" s="1"/>
  <c r="H90" i="16"/>
  <c r="S90" i="16"/>
  <c r="J89" i="3"/>
  <c r="V88" i="3" l="1"/>
  <c r="W88" i="3" s="1"/>
  <c r="G89" i="3"/>
  <c r="M89" i="3" s="1"/>
  <c r="N89" i="3" s="1"/>
  <c r="H89" i="3"/>
  <c r="O89" i="3" s="1"/>
  <c r="N90" i="16"/>
  <c r="O90" i="16" s="1"/>
  <c r="U90" i="16" s="1"/>
  <c r="V90" i="16" s="1"/>
  <c r="G91" i="16" s="1"/>
  <c r="Q89" i="3"/>
  <c r="K89" i="3" l="1"/>
  <c r="L89" i="3" s="1"/>
  <c r="R89" i="3" s="1"/>
  <c r="S89" i="3" s="1"/>
  <c r="F90" i="3" s="1"/>
  <c r="W90" i="16"/>
  <c r="D91" i="16"/>
  <c r="L91" i="16"/>
  <c r="D90" i="3" l="1"/>
  <c r="T89" i="3"/>
  <c r="H91" i="16"/>
  <c r="I91" i="16"/>
  <c r="P91" i="16" s="1"/>
  <c r="S91" i="16"/>
  <c r="J90" i="3"/>
  <c r="V89" i="3" l="1"/>
  <c r="W89" i="3" s="1"/>
  <c r="G90" i="3"/>
  <c r="M90" i="3" s="1"/>
  <c r="N90" i="3" s="1"/>
  <c r="H90" i="3"/>
  <c r="O90" i="3" s="1"/>
  <c r="N91" i="16"/>
  <c r="O91" i="16" s="1"/>
  <c r="U91" i="16" s="1"/>
  <c r="V91" i="16" s="1"/>
  <c r="Q90" i="3"/>
  <c r="K90" i="3" l="1"/>
  <c r="L90" i="3" s="1"/>
  <c r="R90" i="3" s="1"/>
  <c r="S90" i="3" s="1"/>
  <c r="F91" i="3" s="1"/>
  <c r="W91" i="16"/>
  <c r="G92" i="16"/>
  <c r="L92" i="16" s="1"/>
  <c r="S92" i="16" s="1"/>
  <c r="D92" i="16"/>
  <c r="I92" i="16" s="1"/>
  <c r="P92" i="16" s="1"/>
  <c r="T90" i="3" l="1"/>
  <c r="D91" i="3"/>
  <c r="H92" i="16"/>
  <c r="N92" i="16" s="1"/>
  <c r="O92" i="16" s="1"/>
  <c r="U92" i="16" s="1"/>
  <c r="V92" i="16" s="1"/>
  <c r="G93" i="16" s="1"/>
  <c r="J91" i="3"/>
  <c r="V90" i="3" l="1"/>
  <c r="W90" i="3" s="1"/>
  <c r="H91" i="3"/>
  <c r="O91" i="3" s="1"/>
  <c r="G91" i="3"/>
  <c r="M91" i="3" s="1"/>
  <c r="N91" i="3" s="1"/>
  <c r="W92" i="16"/>
  <c r="D93" i="16"/>
  <c r="L93" i="16"/>
  <c r="Q91" i="3"/>
  <c r="K91" i="3" l="1"/>
  <c r="L91" i="3" s="1"/>
  <c r="R91" i="3" s="1"/>
  <c r="S91" i="3" s="1"/>
  <c r="F92" i="3" s="1"/>
  <c r="I93" i="16"/>
  <c r="P93" i="16" s="1"/>
  <c r="H93" i="16"/>
  <c r="S93" i="16"/>
  <c r="T91" i="3" l="1"/>
  <c r="V91" i="3" s="1"/>
  <c r="W91" i="3" s="1"/>
  <c r="D92" i="3"/>
  <c r="N93" i="16"/>
  <c r="O93" i="16" s="1"/>
  <c r="U93" i="16" s="1"/>
  <c r="V93" i="16" s="1"/>
  <c r="G94" i="16" s="1"/>
  <c r="J92" i="3"/>
  <c r="H92" i="3" l="1"/>
  <c r="O92" i="3" s="1"/>
  <c r="G92" i="3"/>
  <c r="M92" i="3" s="1"/>
  <c r="N92" i="3" s="1"/>
  <c r="W93" i="16"/>
  <c r="D94" i="16"/>
  <c r="L94" i="16"/>
  <c r="Q92" i="3"/>
  <c r="K92" i="3" l="1"/>
  <c r="L92" i="3" s="1"/>
  <c r="R92" i="3" s="1"/>
  <c r="S92" i="3" s="1"/>
  <c r="F93" i="3" s="1"/>
  <c r="I94" i="16"/>
  <c r="P94" i="16" s="1"/>
  <c r="H94" i="16"/>
  <c r="S94" i="16"/>
  <c r="T92" i="3" l="1"/>
  <c r="V92" i="3" s="1"/>
  <c r="W92" i="3" s="1"/>
  <c r="D93" i="3"/>
  <c r="N94" i="16"/>
  <c r="O94" i="16" s="1"/>
  <c r="U94" i="16" s="1"/>
  <c r="V94" i="16" s="1"/>
  <c r="G95" i="16" s="1"/>
  <c r="J93" i="3"/>
  <c r="H93" i="3" l="1"/>
  <c r="O93" i="3" s="1"/>
  <c r="G93" i="3"/>
  <c r="M93" i="3" s="1"/>
  <c r="N93" i="3" s="1"/>
  <c r="W94" i="16"/>
  <c r="D95" i="16"/>
  <c r="L95" i="16"/>
  <c r="Q93" i="3"/>
  <c r="K93" i="3" l="1"/>
  <c r="L93" i="3" s="1"/>
  <c r="R93" i="3" s="1"/>
  <c r="S93" i="3" s="1"/>
  <c r="F94" i="3" s="1"/>
  <c r="H95" i="16"/>
  <c r="I95" i="16"/>
  <c r="P95" i="16" s="1"/>
  <c r="S95" i="16"/>
  <c r="T93" i="3" l="1"/>
  <c r="D94" i="3"/>
  <c r="N95" i="16"/>
  <c r="O95" i="16" s="1"/>
  <c r="U95" i="16" s="1"/>
  <c r="V95" i="16" s="1"/>
  <c r="G96" i="16" s="1"/>
  <c r="J94" i="3"/>
  <c r="V93" i="3" l="1"/>
  <c r="W93" i="3" s="1"/>
  <c r="H94" i="3"/>
  <c r="O94" i="3" s="1"/>
  <c r="G94" i="3"/>
  <c r="M94" i="3" s="1"/>
  <c r="N94" i="3" s="1"/>
  <c r="W95" i="16"/>
  <c r="D96" i="16"/>
  <c r="L96" i="16"/>
  <c r="Q94" i="3"/>
  <c r="K94" i="3" l="1"/>
  <c r="L94" i="3" s="1"/>
  <c r="R94" i="3" s="1"/>
  <c r="S94" i="3" s="1"/>
  <c r="F95" i="3" s="1"/>
  <c r="I96" i="16"/>
  <c r="P96" i="16" s="1"/>
  <c r="H96" i="16"/>
  <c r="S96" i="16"/>
  <c r="T94" i="3" l="1"/>
  <c r="V94" i="3" s="1"/>
  <c r="W94" i="3" s="1"/>
  <c r="D95" i="3"/>
  <c r="N96" i="16"/>
  <c r="O96" i="16" s="1"/>
  <c r="U96" i="16" s="1"/>
  <c r="V96" i="16" s="1"/>
  <c r="G97" i="16" s="1"/>
  <c r="J95" i="3"/>
  <c r="G95" i="3" l="1"/>
  <c r="M95" i="3" s="1"/>
  <c r="N95" i="3" s="1"/>
  <c r="H95" i="3"/>
  <c r="O95" i="3" s="1"/>
  <c r="W96" i="16"/>
  <c r="D97" i="16"/>
  <c r="L97" i="16"/>
  <c r="Q95" i="3"/>
  <c r="K95" i="3" l="1"/>
  <c r="L95" i="3" s="1"/>
  <c r="R95" i="3" s="1"/>
  <c r="S95" i="3" s="1"/>
  <c r="F96" i="3" s="1"/>
  <c r="H97" i="16"/>
  <c r="I97" i="16"/>
  <c r="P97" i="16" s="1"/>
  <c r="S97" i="16"/>
  <c r="T95" i="3" l="1"/>
  <c r="V95" i="3" s="1"/>
  <c r="W95" i="3" s="1"/>
  <c r="D96" i="3"/>
  <c r="N97" i="16"/>
  <c r="O97" i="16" s="1"/>
  <c r="U97" i="16" s="1"/>
  <c r="V97" i="16" s="1"/>
  <c r="G98" i="16" s="1"/>
  <c r="J96" i="3"/>
  <c r="H96" i="3" l="1"/>
  <c r="O96" i="3" s="1"/>
  <c r="G96" i="3"/>
  <c r="M96" i="3" s="1"/>
  <c r="N96" i="3" s="1"/>
  <c r="W97" i="16"/>
  <c r="D98" i="16"/>
  <c r="L98" i="16"/>
  <c r="Q96" i="3"/>
  <c r="K96" i="3" l="1"/>
  <c r="L96" i="3" s="1"/>
  <c r="R96" i="3" s="1"/>
  <c r="S96" i="3" s="1"/>
  <c r="F97" i="3" s="1"/>
  <c r="H98" i="16"/>
  <c r="I98" i="16"/>
  <c r="P98" i="16" s="1"/>
  <c r="S98" i="16"/>
  <c r="D97" i="3" l="1"/>
  <c r="T96" i="3"/>
  <c r="N98" i="16"/>
  <c r="O98" i="16" s="1"/>
  <c r="U98" i="16" s="1"/>
  <c r="V98" i="16" s="1"/>
  <c r="G99" i="16" s="1"/>
  <c r="J97" i="3"/>
  <c r="V96" i="3" l="1"/>
  <c r="W96" i="3" s="1"/>
  <c r="H97" i="3"/>
  <c r="O97" i="3" s="1"/>
  <c r="G97" i="3"/>
  <c r="M97" i="3" s="1"/>
  <c r="N97" i="3" s="1"/>
  <c r="W98" i="16"/>
  <c r="D99" i="16"/>
  <c r="L99" i="16"/>
  <c r="Q97" i="3"/>
  <c r="K97" i="3" l="1"/>
  <c r="L97" i="3" s="1"/>
  <c r="R97" i="3" s="1"/>
  <c r="S97" i="3" s="1"/>
  <c r="F98" i="3" s="1"/>
  <c r="H99" i="16"/>
  <c r="I99" i="16"/>
  <c r="P99" i="16" s="1"/>
  <c r="S99" i="16"/>
  <c r="T97" i="3" l="1"/>
  <c r="V97" i="3" s="1"/>
  <c r="W97" i="3" s="1"/>
  <c r="D98" i="3"/>
  <c r="N99" i="16"/>
  <c r="O99" i="16" s="1"/>
  <c r="U99" i="16" s="1"/>
  <c r="V99" i="16" s="1"/>
  <c r="G100" i="16" s="1"/>
  <c r="J98" i="3"/>
  <c r="H98" i="3" l="1"/>
  <c r="O98" i="3" s="1"/>
  <c r="G98" i="3"/>
  <c r="M98" i="3" s="1"/>
  <c r="N98" i="3" s="1"/>
  <c r="W99" i="16"/>
  <c r="D100" i="16"/>
  <c r="L100" i="16"/>
  <c r="Q98" i="3"/>
  <c r="K98" i="3" l="1"/>
  <c r="L98" i="3" s="1"/>
  <c r="R98" i="3" s="1"/>
  <c r="S98" i="3" s="1"/>
  <c r="F99" i="3" s="1"/>
  <c r="I100" i="16"/>
  <c r="P100" i="16" s="1"/>
  <c r="H100" i="16"/>
  <c r="S100" i="16"/>
  <c r="T98" i="3" l="1"/>
  <c r="D99" i="3"/>
  <c r="N100" i="16"/>
  <c r="O100" i="16" s="1"/>
  <c r="U100" i="16" s="1"/>
  <c r="V100" i="16" s="1"/>
  <c r="G101" i="16" s="1"/>
  <c r="J99" i="3"/>
  <c r="V98" i="3" l="1"/>
  <c r="W98" i="3" s="1"/>
  <c r="G99" i="3"/>
  <c r="M99" i="3" s="1"/>
  <c r="N99" i="3" s="1"/>
  <c r="H99" i="3"/>
  <c r="O99" i="3" s="1"/>
  <c r="W100" i="16"/>
  <c r="D101" i="16"/>
  <c r="L101" i="16"/>
  <c r="Q99" i="3"/>
  <c r="K99" i="3" l="1"/>
  <c r="L99" i="3" s="1"/>
  <c r="R99" i="3" s="1"/>
  <c r="S99" i="3" s="1"/>
  <c r="F100" i="3" s="1"/>
  <c r="H101" i="16"/>
  <c r="I101" i="16"/>
  <c r="P101" i="16" s="1"/>
  <c r="S101" i="16"/>
  <c r="T99" i="3" l="1"/>
  <c r="V99" i="3" s="1"/>
  <c r="W99" i="3" s="1"/>
  <c r="D100" i="3"/>
  <c r="N101" i="16"/>
  <c r="O101" i="16" s="1"/>
  <c r="U101" i="16" s="1"/>
  <c r="V101" i="16" s="1"/>
  <c r="G102" i="16" s="1"/>
  <c r="J100" i="3"/>
  <c r="H100" i="3" l="1"/>
  <c r="O100" i="3" s="1"/>
  <c r="G100" i="3"/>
  <c r="W101" i="16"/>
  <c r="D102" i="16"/>
  <c r="L102" i="16"/>
  <c r="Q100" i="3"/>
  <c r="K100" i="3" l="1"/>
  <c r="L100" i="3" s="1"/>
  <c r="R100" i="3" s="1"/>
  <c r="S100" i="3" s="1"/>
  <c r="F101" i="3" s="1"/>
  <c r="M100" i="3"/>
  <c r="N100" i="3" s="1"/>
  <c r="I102" i="16"/>
  <c r="P102" i="16" s="1"/>
  <c r="H102" i="16"/>
  <c r="S102" i="16"/>
  <c r="T100" i="3" l="1"/>
  <c r="V100" i="3" s="1"/>
  <c r="W100" i="3" s="1"/>
  <c r="D101" i="3"/>
  <c r="N102" i="16"/>
  <c r="O102" i="16" s="1"/>
  <c r="U102" i="16" s="1"/>
  <c r="V102" i="16" s="1"/>
  <c r="G103" i="16" s="1"/>
  <c r="J101" i="3"/>
  <c r="G101" i="3" l="1"/>
  <c r="M101" i="3" s="1"/>
  <c r="N101" i="3" s="1"/>
  <c r="H101" i="3"/>
  <c r="O101" i="3" s="1"/>
  <c r="W102" i="16"/>
  <c r="D103" i="16"/>
  <c r="L103" i="16"/>
  <c r="Q101" i="3"/>
  <c r="K101" i="3" l="1"/>
  <c r="L101" i="3" s="1"/>
  <c r="R101" i="3" s="1"/>
  <c r="S101" i="3" s="1"/>
  <c r="F102" i="3" s="1"/>
  <c r="I103" i="16"/>
  <c r="P103" i="16" s="1"/>
  <c r="H103" i="16"/>
  <c r="S103" i="16"/>
  <c r="T101" i="3" l="1"/>
  <c r="V101" i="3" s="1"/>
  <c r="W101" i="3" s="1"/>
  <c r="D102" i="3"/>
  <c r="N103" i="16"/>
  <c r="O103" i="16" s="1"/>
  <c r="U103" i="16" s="1"/>
  <c r="V103" i="16" s="1"/>
  <c r="G104" i="16" s="1"/>
  <c r="J102" i="3"/>
  <c r="H102" i="3" l="1"/>
  <c r="O102" i="3" s="1"/>
  <c r="G102" i="3"/>
  <c r="M102" i="3" s="1"/>
  <c r="N102" i="3" s="1"/>
  <c r="W103" i="16"/>
  <c r="D104" i="16"/>
  <c r="L104" i="16"/>
  <c r="Q102" i="3"/>
  <c r="K102" i="3" l="1"/>
  <c r="L102" i="3" s="1"/>
  <c r="R102" i="3" s="1"/>
  <c r="S102" i="3" s="1"/>
  <c r="F103" i="3" s="1"/>
  <c r="I104" i="16"/>
  <c r="P104" i="16" s="1"/>
  <c r="H104" i="16"/>
  <c r="S104" i="16"/>
  <c r="D103" i="3" l="1"/>
  <c r="T102" i="3"/>
  <c r="N104" i="16"/>
  <c r="O104" i="16" s="1"/>
  <c r="U104" i="16" s="1"/>
  <c r="V104" i="16" s="1"/>
  <c r="G105" i="16" s="1"/>
  <c r="J103" i="3"/>
  <c r="V102" i="3" l="1"/>
  <c r="W102" i="3" s="1"/>
  <c r="G103" i="3"/>
  <c r="M103" i="3" s="1"/>
  <c r="N103" i="3" s="1"/>
  <c r="H103" i="3"/>
  <c r="O103" i="3" s="1"/>
  <c r="W104" i="16"/>
  <c r="D105" i="16"/>
  <c r="L105" i="16"/>
  <c r="Q103" i="3"/>
  <c r="K103" i="3" l="1"/>
  <c r="L103" i="3" s="1"/>
  <c r="R103" i="3" s="1"/>
  <c r="S103" i="3" s="1"/>
  <c r="F104" i="3" s="1"/>
  <c r="H105" i="16"/>
  <c r="I105" i="16"/>
  <c r="P105" i="16" s="1"/>
  <c r="S105" i="16"/>
  <c r="T103" i="3" l="1"/>
  <c r="D104" i="3"/>
  <c r="N105" i="16"/>
  <c r="O105" i="16" s="1"/>
  <c r="U105" i="16" s="1"/>
  <c r="V105" i="16" s="1"/>
  <c r="G106" i="16" s="1"/>
  <c r="J104" i="3"/>
  <c r="V103" i="3" l="1"/>
  <c r="W103" i="3" s="1"/>
  <c r="G104" i="3"/>
  <c r="M104" i="3" s="1"/>
  <c r="N104" i="3" s="1"/>
  <c r="H104" i="3"/>
  <c r="O104" i="3" s="1"/>
  <c r="W105" i="16"/>
  <c r="D106" i="16"/>
  <c r="L106" i="16"/>
  <c r="Q104" i="3"/>
  <c r="K104" i="3" l="1"/>
  <c r="L104" i="3" s="1"/>
  <c r="R104" i="3" s="1"/>
  <c r="S104" i="3" s="1"/>
  <c r="F105" i="3" s="1"/>
  <c r="I106" i="16"/>
  <c r="P106" i="16" s="1"/>
  <c r="H106" i="16"/>
  <c r="S106" i="16"/>
  <c r="D105" i="3" l="1"/>
  <c r="T104" i="3"/>
  <c r="N106" i="16"/>
  <c r="O106" i="16" s="1"/>
  <c r="U106" i="16" s="1"/>
  <c r="V106" i="16" s="1"/>
  <c r="G107" i="16" s="1"/>
  <c r="J105" i="3"/>
  <c r="V104" i="3" l="1"/>
  <c r="W104" i="3" s="1"/>
  <c r="H105" i="3"/>
  <c r="O105" i="3" s="1"/>
  <c r="G105" i="3"/>
  <c r="M105" i="3" s="1"/>
  <c r="N105" i="3" s="1"/>
  <c r="W106" i="16"/>
  <c r="D107" i="16"/>
  <c r="L107" i="16"/>
  <c r="Q105" i="3"/>
  <c r="K105" i="3" l="1"/>
  <c r="L105" i="3" s="1"/>
  <c r="R105" i="3" s="1"/>
  <c r="S105" i="3" s="1"/>
  <c r="F106" i="3" s="1"/>
  <c r="I107" i="16"/>
  <c r="P107" i="16" s="1"/>
  <c r="H107" i="16"/>
  <c r="S107" i="16"/>
  <c r="T105" i="3" l="1"/>
  <c r="V105" i="3" s="1"/>
  <c r="W105" i="3" s="1"/>
  <c r="D106" i="3"/>
  <c r="N107" i="16"/>
  <c r="O107" i="16" s="1"/>
  <c r="U107" i="16" s="1"/>
  <c r="V107" i="16" s="1"/>
  <c r="G108" i="16" s="1"/>
  <c r="J106" i="3"/>
  <c r="G106" i="3" l="1"/>
  <c r="M106" i="3" s="1"/>
  <c r="N106" i="3" s="1"/>
  <c r="H106" i="3"/>
  <c r="O106" i="3" s="1"/>
  <c r="W107" i="16"/>
  <c r="D108" i="16"/>
  <c r="L108" i="16"/>
  <c r="Q106" i="3"/>
  <c r="K106" i="3" l="1"/>
  <c r="L106" i="3" s="1"/>
  <c r="R106" i="3" s="1"/>
  <c r="S106" i="3" s="1"/>
  <c r="F107" i="3" s="1"/>
  <c r="H108" i="16"/>
  <c r="I108" i="16"/>
  <c r="P108" i="16" s="1"/>
  <c r="S108" i="16"/>
  <c r="T106" i="3" l="1"/>
  <c r="V106" i="3" s="1"/>
  <c r="W106" i="3" s="1"/>
  <c r="D107" i="3"/>
  <c r="N108" i="16"/>
  <c r="O108" i="16" s="1"/>
  <c r="U108" i="16" s="1"/>
  <c r="V108" i="16" s="1"/>
  <c r="G109" i="16" s="1"/>
  <c r="J107" i="3"/>
  <c r="H107" i="3" l="1"/>
  <c r="O107" i="3" s="1"/>
  <c r="G107" i="3"/>
  <c r="M107" i="3" s="1"/>
  <c r="N107" i="3" s="1"/>
  <c r="W108" i="16"/>
  <c r="D109" i="16"/>
  <c r="L109" i="16"/>
  <c r="Q107" i="3"/>
  <c r="K107" i="3" l="1"/>
  <c r="L107" i="3" s="1"/>
  <c r="R107" i="3" s="1"/>
  <c r="S107" i="3" s="1"/>
  <c r="F108" i="3" s="1"/>
  <c r="H109" i="16"/>
  <c r="I109" i="16"/>
  <c r="P109" i="16" s="1"/>
  <c r="S109" i="16"/>
  <c r="T107" i="3" l="1"/>
  <c r="V107" i="3" s="1"/>
  <c r="W107" i="3" s="1"/>
  <c r="D108" i="3"/>
  <c r="N109" i="16"/>
  <c r="O109" i="16" s="1"/>
  <c r="U109" i="16" s="1"/>
  <c r="V109" i="16" s="1"/>
  <c r="J108" i="3"/>
  <c r="G108" i="3" l="1"/>
  <c r="M108" i="3" s="1"/>
  <c r="N108" i="3" s="1"/>
  <c r="H108" i="3"/>
  <c r="O108" i="3" s="1"/>
  <c r="W109" i="16"/>
  <c r="Q108" i="3"/>
  <c r="K108" i="3" l="1"/>
  <c r="L108" i="3" s="1"/>
  <c r="R108" i="3" s="1"/>
  <c r="S108" i="3" s="1"/>
  <c r="F109" i="3" s="1"/>
  <c r="T108" i="3" l="1"/>
  <c r="V108" i="3" s="1"/>
  <c r="W108" i="3" s="1"/>
  <c r="D109" i="3"/>
  <c r="J109" i="3"/>
  <c r="H109" i="3" l="1"/>
  <c r="O109" i="3" s="1"/>
  <c r="G109" i="3"/>
  <c r="M109" i="3" s="1"/>
  <c r="N109" i="3" s="1"/>
  <c r="Q109" i="3"/>
  <c r="K109" i="3" l="1"/>
  <c r="L109" i="3" s="1"/>
  <c r="R109" i="3" s="1"/>
  <c r="S109" i="3" s="1"/>
  <c r="T109" i="3" l="1"/>
  <c r="V109" i="3" l="1"/>
  <c r="W109" i="3" s="1"/>
</calcChain>
</file>

<file path=xl/sharedStrings.xml><?xml version="1.0" encoding="utf-8"?>
<sst xmlns="http://schemas.openxmlformats.org/spreadsheetml/2006/main" count="108" uniqueCount="85">
  <si>
    <t>PARAMETERS</t>
  </si>
  <si>
    <t>Box 2 tarief - 1e schijf</t>
  </si>
  <si>
    <t>Box 2 tarief - 2e schijf</t>
  </si>
  <si>
    <t>Tarieven:</t>
  </si>
  <si>
    <t>Assets:</t>
  </si>
  <si>
    <t>Rendement:</t>
  </si>
  <si>
    <t>growth_return</t>
  </si>
  <si>
    <t>dividend return</t>
  </si>
  <si>
    <t>coupon</t>
  </si>
  <si>
    <t>aandelen (fmv)</t>
  </si>
  <si>
    <t>Box_3_tarief_huidig</t>
  </si>
  <si>
    <t>Box_3_tarief_toekomst</t>
  </si>
  <si>
    <t>Box_3_vrijstelling_huidig</t>
  </si>
  <si>
    <t>Box_3_vrijstelling_toekomst</t>
  </si>
  <si>
    <t>Box_3_nieuw_per</t>
  </si>
  <si>
    <t>Vpb tarief - 1e schijf</t>
  </si>
  <si>
    <t>Vpb tarief - 2e schijf</t>
  </si>
  <si>
    <t>schijf:</t>
  </si>
  <si>
    <t>tarief:</t>
  </si>
  <si>
    <t>tot:</t>
  </si>
  <si>
    <t>Overig:</t>
  </si>
  <si>
    <t>inleg_datum</t>
  </si>
  <si>
    <t>YYYY</t>
  </si>
  <si>
    <t>model hoeveel jaar</t>
  </si>
  <si>
    <t>BOX_3_REGIME</t>
  </si>
  <si>
    <t>BOX_3_TAX</t>
  </si>
  <si>
    <t>BOX_3_INCOME</t>
  </si>
  <si>
    <t>DEFERRED_VPB</t>
  </si>
  <si>
    <t>DEFERRED_GAIN</t>
  </si>
  <si>
    <t>1 Jans only -!</t>
  </si>
  <si>
    <t>VALUE_POST_TAX</t>
  </si>
  <si>
    <t>Raboledencert (fmv)</t>
  </si>
  <si>
    <t>Koers</t>
  </si>
  <si>
    <t>EQUITY</t>
  </si>
  <si>
    <t>BONDS</t>
  </si>
  <si>
    <t>TOTAL</t>
  </si>
  <si>
    <t>BOX 2 to the Right ---&gt;&gt;</t>
  </si>
  <si>
    <t>Onroerend goed (fmv)</t>
  </si>
  <si>
    <t>netto yield</t>
  </si>
  <si>
    <t>inflatie</t>
  </si>
  <si>
    <t>rendement op cash</t>
  </si>
  <si>
    <t>PROPERTY</t>
  </si>
  <si>
    <t>draw down amount per jaar</t>
  </si>
  <si>
    <t>START_VALUES</t>
  </si>
  <si>
    <t>NET_INCOME</t>
  </si>
  <si>
    <t>Veronderstellingen:</t>
  </si>
  <si>
    <t>BOX 3 to the Right ---&gt;&gt;</t>
  </si>
  <si>
    <t>EQUITY_GROWTH</t>
  </si>
  <si>
    <t>EQUITY_DIVIDEND</t>
  </si>
  <si>
    <t>BONDS_COUPON</t>
  </si>
  <si>
    <t>PROPERTY_RENT</t>
  </si>
  <si>
    <t>CASH</t>
  </si>
  <si>
    <t>CASHFLOW</t>
  </si>
  <si>
    <t>CASH FLOW</t>
  </si>
  <si>
    <t>DRAW DOWN</t>
  </si>
  <si>
    <t>CASH_RETURN</t>
  </si>
  <si>
    <t>BOX_3</t>
  </si>
  <si>
    <t xml:space="preserve"> -&gt; Use available cash to pay Box 3 tax, run deficit if needed, do not sell Equity, Bonds or Property. </t>
  </si>
  <si>
    <t>Box 3</t>
  </si>
  <si>
    <t>EQUITY + BONDS IN BV</t>
  </si>
  <si>
    <t>TAXABLE_INCOME</t>
  </si>
  <si>
    <t>CURRENT_VPB</t>
  </si>
  <si>
    <t>VPB</t>
  </si>
  <si>
    <t>VPB PAID</t>
  </si>
  <si>
    <t>Cash</t>
  </si>
  <si>
    <t>draw down vanaf</t>
  </si>
  <si>
    <t>Box_3_fictief_rendement_overig</t>
  </si>
  <si>
    <t>Box_3_fictief_rendement_cash</t>
  </si>
  <si>
    <t>Percentage van de jaarlijkse cash flow &gt; 0 geherinvesteerd in aandelen; restant naar 'kas'.</t>
  </si>
  <si>
    <t>Contanten voor 'prive' gebruik per jaar, onttrekking uit het systeem via vermindering 'kas'.</t>
  </si>
  <si>
    <t>% excess cash geherinvesteerd in aandelen</t>
  </si>
  <si>
    <t xml:space="preserve"> -&gt; Excess cash is reinvested at in equity and cash, allocation per parameter 'reinvestment_mix'.</t>
  </si>
  <si>
    <t>BOX 2</t>
  </si>
  <si>
    <t>COST</t>
  </si>
  <si>
    <t>FMV ASSETS</t>
  </si>
  <si>
    <t xml:space="preserve"> -&gt; Use available cash to pay Vpb tax, run deficit if needed, do not sell Equity or Bonds</t>
  </si>
  <si>
    <t>BOX_2_TAX</t>
  </si>
  <si>
    <t>De kas rendeert tegen het 'rendement op cash' tarief in C30. Dit percentage wordt ook gebruikt om rentekosten bij een eventuele negatieve 'kas' in mindering te brengen.</t>
  </si>
  <si>
    <t>Onroerend goed blijft altijd in Box 3 want overdrachtsbelasting. Voor vergelijk tussen Box 2 en Box 3 dus o/g op nul.</t>
  </si>
  <si>
    <t>Voor vergelijk tussen Box 3 en Box 2 ook de drawdown op nul zetten - Box 2 model heeft geen drawdown functie (nog niet).</t>
  </si>
  <si>
    <t>1. Box 3 lijkt altijd voordeliger dan Box 2.</t>
  </si>
  <si>
    <t>Verrassingen:</t>
  </si>
  <si>
    <t>MTM in BV? (false = laten staan op kostprijs)</t>
  </si>
  <si>
    <t>2. "Mark to Market" in de BV leidt na AB heffing  tot een marginaal hogere (!) netto waarde van de portefeuille na alle belasting, dan laten staan op kostprijs.</t>
  </si>
  <si>
    <t xml:space="preserve">In zowel Box 3 als Box 2 model wordt het verschil tussen dividend, netto huur en coupon inkomsten minus de te betalen Box 3 of Vpb belasting geboekt in 'kas'.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</si>
</sst>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_ [$€-2]\ * #,##0_ ;_ [$€-2]\ * \-#,##0_ ;_ [$€-2]\ * &quot;-&quot;??_ ;_ @_ "/>
    <numFmt numFmtId="166" formatCode="_ * #,##0_ ;_ * \-#,##0_ ;_ * &quot;-&quot;??_ ;_ @_ "/>
    <numFmt numFmtId="167" formatCode="[$]d\ mmm\ yyyy;@" x16r2:formatCode16="[$-en-NL,1]d\ mmm\ yyyy;@"/>
    <numFmt numFmtId="168" formatCode="[$]dd/mm/yyyy;@" x16r2:formatCode16="[$-en-NL,1]dd/mm/yyyy;@"/>
    <numFmt numFmtId="169" formatCode="[$€-2]\ #,##0;[$€-2]\ \-#,##0"/>
    <numFmt numFmtId="170" formatCode="0.0%"/>
    <numFmt numFmtId="171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64">
    <xf numFmtId="0" fontId="0" fillId="0" borderId="0" xfId="0"/>
    <xf numFmtId="165" fontId="0" fillId="0" borderId="0" xfId="0" applyNumberFormat="1"/>
    <xf numFmtId="0" fontId="2" fillId="0" borderId="0" xfId="0" applyFont="1"/>
    <xf numFmtId="165" fontId="3" fillId="0" borderId="0" xfId="0" applyNumberFormat="1" applyFont="1"/>
    <xf numFmtId="0" fontId="3" fillId="0" borderId="0" xfId="0" applyFont="1"/>
    <xf numFmtId="10" fontId="3" fillId="0" borderId="0" xfId="0" applyNumberFormat="1" applyFont="1"/>
    <xf numFmtId="0" fontId="0" fillId="2" borderId="0" xfId="0" applyFill="1"/>
    <xf numFmtId="0" fontId="0" fillId="3" borderId="0" xfId="0" applyFill="1"/>
    <xf numFmtId="0" fontId="7" fillId="0" borderId="0" xfId="0" applyFont="1"/>
    <xf numFmtId="0" fontId="8" fillId="0" borderId="0" xfId="0" applyFont="1"/>
    <xf numFmtId="0" fontId="0" fillId="5" borderId="0" xfId="0" applyFill="1"/>
    <xf numFmtId="165" fontId="3" fillId="5" borderId="0" xfId="0" applyNumberFormat="1" applyFont="1" applyFill="1"/>
    <xf numFmtId="165" fontId="4" fillId="5" borderId="0" xfId="0" applyNumberFormat="1" applyFont="1" applyFill="1"/>
    <xf numFmtId="165" fontId="4" fillId="2" borderId="0" xfId="0" applyNumberFormat="1" applyFont="1" applyFill="1"/>
    <xf numFmtId="0" fontId="9" fillId="0" borderId="0" xfId="0" applyFont="1"/>
    <xf numFmtId="165" fontId="4" fillId="6" borderId="0" xfId="0" applyNumberFormat="1" applyFont="1" applyFill="1"/>
    <xf numFmtId="0" fontId="10" fillId="0" borderId="0" xfId="0" applyFont="1"/>
    <xf numFmtId="0" fontId="11" fillId="0" borderId="0" xfId="0" applyFont="1"/>
    <xf numFmtId="0" fontId="0" fillId="6" borderId="0" xfId="0" applyFill="1"/>
    <xf numFmtId="9" fontId="4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/>
    <xf numFmtId="0" fontId="5" fillId="0" borderId="0" xfId="0" applyFont="1"/>
    <xf numFmtId="165" fontId="4" fillId="2" borderId="0" xfId="0" applyNumberFormat="1" applyFont="1" applyFill="1" applyAlignment="1">
      <alignment horizontal="right"/>
    </xf>
    <xf numFmtId="10" fontId="4" fillId="3" borderId="0" xfId="0" applyNumberFormat="1" applyFont="1" applyFill="1"/>
    <xf numFmtId="0" fontId="12" fillId="4" borderId="0" xfId="0" applyFont="1" applyFill="1"/>
    <xf numFmtId="167" fontId="4" fillId="4" borderId="0" xfId="0" applyNumberFormat="1" applyFont="1" applyFill="1"/>
    <xf numFmtId="166" fontId="4" fillId="4" borderId="0" xfId="1" applyNumberFormat="1" applyFont="1" applyFill="1"/>
    <xf numFmtId="0" fontId="1" fillId="0" borderId="0" xfId="0" applyFont="1" applyFill="1" applyAlignment="1">
      <alignment horizontal="center"/>
    </xf>
    <xf numFmtId="166" fontId="0" fillId="0" borderId="0" xfId="0" applyNumberFormat="1"/>
    <xf numFmtId="0" fontId="5" fillId="0" borderId="0" xfId="0" applyFont="1" applyFill="1"/>
    <xf numFmtId="0" fontId="0" fillId="0" borderId="0" xfId="0" applyFill="1"/>
    <xf numFmtId="0" fontId="7" fillId="0" borderId="0" xfId="0" applyFont="1" applyFill="1"/>
    <xf numFmtId="0" fontId="1" fillId="0" borderId="0" xfId="0" applyFont="1" applyFill="1" applyAlignment="1">
      <alignment horizontal="left"/>
    </xf>
    <xf numFmtId="168" fontId="0" fillId="0" borderId="0" xfId="0" applyNumberFormat="1" applyFill="1" applyAlignment="1">
      <alignment horizontal="left"/>
    </xf>
    <xf numFmtId="169" fontId="0" fillId="0" borderId="0" xfId="0" applyNumberFormat="1" applyFill="1"/>
    <xf numFmtId="0" fontId="0" fillId="0" borderId="0" xfId="0" applyFill="1" applyAlignment="1">
      <alignment horizontal="center"/>
    </xf>
    <xf numFmtId="0" fontId="0" fillId="7" borderId="0" xfId="0" applyFill="1"/>
    <xf numFmtId="170" fontId="4" fillId="4" borderId="0" xfId="2" applyNumberFormat="1" applyFont="1" applyFill="1"/>
    <xf numFmtId="0" fontId="4" fillId="3" borderId="0" xfId="0" applyFont="1" applyFill="1"/>
    <xf numFmtId="0" fontId="1" fillId="5" borderId="0" xfId="0" applyFont="1" applyFill="1" applyAlignment="1">
      <alignment horizontal="center"/>
    </xf>
    <xf numFmtId="165" fontId="4" fillId="4" borderId="0" xfId="0" applyNumberFormat="1" applyFont="1" applyFill="1"/>
    <xf numFmtId="0" fontId="1" fillId="0" borderId="0" xfId="0" applyFont="1" applyFill="1"/>
    <xf numFmtId="0" fontId="2" fillId="0" borderId="0" xfId="0" applyFont="1" applyFill="1" applyAlignment="1">
      <alignment horizontal="center"/>
    </xf>
    <xf numFmtId="168" fontId="0" fillId="0" borderId="0" xfId="0" applyNumberFormat="1"/>
    <xf numFmtId="165" fontId="0" fillId="0" borderId="0" xfId="1" applyNumberFormat="1" applyFont="1"/>
    <xf numFmtId="0" fontId="0" fillId="0" borderId="0" xfId="0" applyFont="1" applyFill="1" applyAlignment="1">
      <alignment horizontal="center"/>
    </xf>
    <xf numFmtId="0" fontId="0" fillId="0" borderId="0" xfId="0" quotePrefix="1" applyFill="1"/>
    <xf numFmtId="0" fontId="14" fillId="0" borderId="0" xfId="0" applyFont="1"/>
    <xf numFmtId="171" fontId="0" fillId="0" borderId="0" xfId="0" applyNumberFormat="1"/>
    <xf numFmtId="166" fontId="0" fillId="0" borderId="0" xfId="1" applyNumberFormat="1" applyFont="1"/>
    <xf numFmtId="0" fontId="0" fillId="0" borderId="0" xfId="0" quotePrefix="1"/>
    <xf numFmtId="9" fontId="4" fillId="4" borderId="0" xfId="0" applyNumberFormat="1" applyFont="1" applyFill="1"/>
    <xf numFmtId="0" fontId="2" fillId="0" borderId="0" xfId="0" quotePrefix="1" applyFont="1"/>
    <xf numFmtId="169" fontId="1" fillId="5" borderId="0" xfId="0" applyNumberFormat="1" applyFont="1" applyFill="1"/>
    <xf numFmtId="0" fontId="1" fillId="5" borderId="0" xfId="0" applyFont="1" applyFill="1"/>
    <xf numFmtId="168" fontId="1" fillId="5" borderId="0" xfId="0" applyNumberFormat="1" applyFont="1" applyFill="1" applyAlignment="1">
      <alignment horizontal="left"/>
    </xf>
    <xf numFmtId="164" fontId="0" fillId="0" borderId="0" xfId="1" applyFont="1" applyFill="1"/>
    <xf numFmtId="169" fontId="0" fillId="0" borderId="0" xfId="1" applyNumberFormat="1" applyFont="1" applyFill="1"/>
    <xf numFmtId="168" fontId="0" fillId="5" borderId="0" xfId="0" applyNumberFormat="1" applyFill="1" applyAlignment="1">
      <alignment horizontal="left"/>
    </xf>
    <xf numFmtId="169" fontId="0" fillId="5" borderId="0" xfId="0" applyNumberFormat="1" applyFill="1"/>
    <xf numFmtId="0" fontId="0" fillId="5" borderId="0" xfId="0" applyFill="1" applyAlignment="1">
      <alignment horizontal="center"/>
    </xf>
    <xf numFmtId="0" fontId="13" fillId="7" borderId="0" xfId="0" applyFont="1" applyFill="1" applyAlignment="1">
      <alignment horizontal="center" vertical="center"/>
    </xf>
    <xf numFmtId="10" fontId="4" fillId="5" borderId="0" xfId="2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65759-404D-4F76-BC5E-B3DB178D6DCC}">
  <dimension ref="B1:AC38"/>
  <sheetViews>
    <sheetView showGridLines="0" tabSelected="1" workbookViewId="0">
      <selection activeCell="J8" sqref="J8"/>
    </sheetView>
  </sheetViews>
  <sheetFormatPr defaultRowHeight="15" x14ac:dyDescent="0.25"/>
  <cols>
    <col min="1" max="1" width="3.28515625" customWidth="1"/>
    <col min="2" max="2" width="43.5703125" customWidth="1"/>
    <col min="3" max="3" width="14" customWidth="1"/>
    <col min="4" max="5" width="1.7109375" customWidth="1"/>
    <col min="6" max="6" width="29.5703125" customWidth="1"/>
    <col min="7" max="7" width="12.28515625" customWidth="1"/>
    <col min="8" max="8" width="3.7109375" customWidth="1"/>
    <col min="9" max="9" width="1.85546875" customWidth="1"/>
    <col min="10" max="10" width="19.7109375" customWidth="1"/>
    <col min="11" max="11" width="17.140625" customWidth="1"/>
    <col min="12" max="12" width="19.85546875" customWidth="1"/>
    <col min="13" max="13" width="21.5703125" customWidth="1"/>
    <col min="14" max="14" width="18.42578125" customWidth="1"/>
    <col min="15" max="15" width="18.5703125" customWidth="1"/>
    <col min="16" max="16" width="26.42578125" customWidth="1"/>
    <col min="17" max="20" width="20.42578125" customWidth="1"/>
    <col min="24" max="24" width="11" bestFit="1" customWidth="1"/>
    <col min="29" max="29" width="10" bestFit="1" customWidth="1"/>
  </cols>
  <sheetData>
    <row r="1" spans="2:16" x14ac:dyDescent="0.25">
      <c r="F1" s="49"/>
    </row>
    <row r="2" spans="2:16" ht="21" x14ac:dyDescent="0.35">
      <c r="B2" s="8" t="s">
        <v>0</v>
      </c>
      <c r="F2" s="50"/>
    </row>
    <row r="4" spans="2:16" ht="18.75" x14ac:dyDescent="0.3">
      <c r="B4" s="17" t="s">
        <v>4</v>
      </c>
      <c r="C4" s="16"/>
      <c r="D4" s="16"/>
      <c r="E4" s="16"/>
      <c r="F4" s="17" t="s">
        <v>5</v>
      </c>
      <c r="J4" s="17" t="s">
        <v>45</v>
      </c>
      <c r="K4" s="44"/>
      <c r="L4" s="45"/>
      <c r="M4" s="45"/>
      <c r="N4" s="45"/>
      <c r="O4" s="45"/>
      <c r="P4" s="45"/>
    </row>
    <row r="5" spans="2:16" x14ac:dyDescent="0.25">
      <c r="B5" s="9"/>
      <c r="D5" s="18"/>
      <c r="E5" s="18"/>
      <c r="F5" s="9"/>
    </row>
    <row r="6" spans="2:16" x14ac:dyDescent="0.25">
      <c r="B6" s="10" t="s">
        <v>9</v>
      </c>
      <c r="C6" s="12">
        <v>1000000</v>
      </c>
      <c r="D6" s="18"/>
      <c r="E6" s="18"/>
      <c r="F6" s="7" t="s">
        <v>6</v>
      </c>
      <c r="G6" s="24">
        <v>7.0000000000000007E-2</v>
      </c>
      <c r="J6" s="2" t="s">
        <v>84</v>
      </c>
    </row>
    <row r="7" spans="2:16" x14ac:dyDescent="0.25">
      <c r="B7" s="10"/>
      <c r="C7" s="11"/>
      <c r="D7" s="18"/>
      <c r="E7" s="18"/>
      <c r="F7" s="7" t="s">
        <v>7</v>
      </c>
      <c r="G7" s="24">
        <v>0</v>
      </c>
      <c r="J7" s="2" t="s">
        <v>77</v>
      </c>
    </row>
    <row r="8" spans="2:16" x14ac:dyDescent="0.25">
      <c r="B8" s="10"/>
      <c r="C8" s="11"/>
      <c r="D8" s="18"/>
      <c r="E8" s="18"/>
      <c r="F8" s="7"/>
      <c r="G8" s="24"/>
    </row>
    <row r="9" spans="2:16" x14ac:dyDescent="0.25">
      <c r="C9" s="3"/>
      <c r="D9" s="18"/>
      <c r="E9" s="18"/>
      <c r="J9" s="22" t="s">
        <v>78</v>
      </c>
    </row>
    <row r="10" spans="2:16" x14ac:dyDescent="0.25">
      <c r="B10" s="10" t="s">
        <v>31</v>
      </c>
      <c r="C10" s="12">
        <v>0</v>
      </c>
      <c r="D10" s="18"/>
      <c r="E10" s="18"/>
      <c r="F10" s="7" t="s">
        <v>8</v>
      </c>
      <c r="G10" s="24">
        <v>6.5000000000000002E-2</v>
      </c>
      <c r="J10" s="2"/>
    </row>
    <row r="11" spans="2:16" x14ac:dyDescent="0.25">
      <c r="B11" s="10" t="s">
        <v>32</v>
      </c>
      <c r="C11" s="63">
        <v>1.125</v>
      </c>
      <c r="D11" s="18"/>
      <c r="E11" s="18"/>
      <c r="F11" s="7"/>
      <c r="G11" s="39"/>
      <c r="J11" s="22" t="s">
        <v>79</v>
      </c>
    </row>
    <row r="12" spans="2:16" x14ac:dyDescent="0.25">
      <c r="C12" s="4"/>
      <c r="D12" s="18"/>
      <c r="E12" s="18"/>
      <c r="J12" s="2"/>
    </row>
    <row r="13" spans="2:16" ht="18.75" x14ac:dyDescent="0.3">
      <c r="B13" s="10" t="s">
        <v>37</v>
      </c>
      <c r="C13" s="12">
        <v>0</v>
      </c>
      <c r="D13" s="18"/>
      <c r="E13" s="18"/>
      <c r="F13" s="7" t="s">
        <v>38</v>
      </c>
      <c r="G13" s="24">
        <v>9.600000000000003E-2</v>
      </c>
      <c r="J13" s="17" t="s">
        <v>81</v>
      </c>
    </row>
    <row r="14" spans="2:16" x14ac:dyDescent="0.25">
      <c r="C14" s="4"/>
      <c r="D14" s="18"/>
      <c r="E14" s="18"/>
      <c r="J14" s="2"/>
    </row>
    <row r="15" spans="2:16" x14ac:dyDescent="0.25">
      <c r="B15" s="10" t="s">
        <v>64</v>
      </c>
      <c r="C15" s="12">
        <v>0</v>
      </c>
      <c r="D15" s="18"/>
      <c r="E15" s="18"/>
      <c r="F15" s="7" t="s">
        <v>40</v>
      </c>
      <c r="G15" s="24">
        <v>0.02</v>
      </c>
      <c r="J15" s="2" t="s">
        <v>80</v>
      </c>
    </row>
    <row r="16" spans="2:16" x14ac:dyDescent="0.25">
      <c r="C16" s="4"/>
      <c r="D16" s="18"/>
      <c r="E16" s="18"/>
      <c r="J16" s="2"/>
    </row>
    <row r="17" spans="2:29" ht="15.75" customHeight="1" x14ac:dyDescent="0.3">
      <c r="B17" s="17" t="s">
        <v>3</v>
      </c>
      <c r="F17" s="51"/>
      <c r="H17" s="15"/>
      <c r="J17" s="2" t="s">
        <v>83</v>
      </c>
      <c r="X17" s="29"/>
      <c r="AC17" s="29"/>
    </row>
    <row r="18" spans="2:29" ht="15.75" x14ac:dyDescent="0.25">
      <c r="B18" s="14"/>
      <c r="H18" s="15"/>
      <c r="J18" s="2"/>
    </row>
    <row r="19" spans="2:29" x14ac:dyDescent="0.25">
      <c r="B19" s="6" t="s">
        <v>10</v>
      </c>
      <c r="C19" s="19">
        <v>0.36</v>
      </c>
      <c r="F19" s="6" t="s">
        <v>11</v>
      </c>
      <c r="G19" s="19">
        <v>0.36</v>
      </c>
      <c r="H19" s="15"/>
      <c r="J19" s="2"/>
    </row>
    <row r="20" spans="2:29" x14ac:dyDescent="0.25">
      <c r="B20" s="6" t="s">
        <v>66</v>
      </c>
      <c r="C20" s="20">
        <v>7.8E-2</v>
      </c>
      <c r="F20" s="6" t="s">
        <v>14</v>
      </c>
      <c r="G20" s="21">
        <v>2028</v>
      </c>
      <c r="H20" s="15"/>
      <c r="K20" s="2"/>
    </row>
    <row r="21" spans="2:29" x14ac:dyDescent="0.25">
      <c r="B21" s="6" t="s">
        <v>67</v>
      </c>
      <c r="C21" s="20">
        <v>1.4999999999999999E-2</v>
      </c>
      <c r="F21" s="6"/>
      <c r="G21" s="21"/>
      <c r="H21" s="15"/>
    </row>
    <row r="22" spans="2:29" x14ac:dyDescent="0.25">
      <c r="B22" s="6" t="s">
        <v>12</v>
      </c>
      <c r="C22" s="13">
        <v>104000</v>
      </c>
      <c r="F22" s="6" t="s">
        <v>13</v>
      </c>
      <c r="G22" s="13">
        <v>5000</v>
      </c>
    </row>
    <row r="23" spans="2:29" x14ac:dyDescent="0.25">
      <c r="C23" s="4"/>
      <c r="D23" s="2"/>
      <c r="E23" s="2"/>
    </row>
    <row r="24" spans="2:29" x14ac:dyDescent="0.25">
      <c r="C24" s="22" t="s">
        <v>18</v>
      </c>
      <c r="D24" s="3">
        <v>67000</v>
      </c>
      <c r="E24" s="3"/>
      <c r="F24" s="22" t="s">
        <v>17</v>
      </c>
      <c r="J24" s="48"/>
    </row>
    <row r="25" spans="2:29" x14ac:dyDescent="0.25">
      <c r="B25" s="6" t="s">
        <v>1</v>
      </c>
      <c r="C25" s="20">
        <v>0.245</v>
      </c>
      <c r="D25" s="3">
        <v>67000</v>
      </c>
      <c r="E25" s="3"/>
      <c r="F25" s="6" t="s">
        <v>19</v>
      </c>
      <c r="G25" s="23">
        <v>67000</v>
      </c>
    </row>
    <row r="26" spans="2:29" x14ac:dyDescent="0.25">
      <c r="B26" s="6" t="s">
        <v>2</v>
      </c>
      <c r="C26" s="20">
        <v>0.31</v>
      </c>
      <c r="D26" s="3">
        <v>200000</v>
      </c>
      <c r="E26" s="3"/>
    </row>
    <row r="27" spans="2:29" x14ac:dyDescent="0.25">
      <c r="B27" s="6" t="s">
        <v>15</v>
      </c>
      <c r="C27" s="20">
        <v>0.19</v>
      </c>
      <c r="D27" s="3">
        <v>200000</v>
      </c>
      <c r="E27" s="3"/>
      <c r="F27" s="6" t="s">
        <v>19</v>
      </c>
      <c r="G27" s="13">
        <v>200000</v>
      </c>
    </row>
    <row r="28" spans="2:29" x14ac:dyDescent="0.25">
      <c r="B28" s="6" t="s">
        <v>16</v>
      </c>
      <c r="C28" s="20">
        <v>0.25800000000000001</v>
      </c>
    </row>
    <row r="29" spans="2:29" x14ac:dyDescent="0.25">
      <c r="B29" s="6" t="s">
        <v>82</v>
      </c>
      <c r="C29" s="21" t="b">
        <v>1</v>
      </c>
    </row>
    <row r="31" spans="2:29" ht="18.75" x14ac:dyDescent="0.3">
      <c r="B31" s="17" t="s">
        <v>20</v>
      </c>
      <c r="C31" s="5"/>
    </row>
    <row r="33" spans="2:17" x14ac:dyDescent="0.25">
      <c r="B33" s="25" t="s">
        <v>70</v>
      </c>
      <c r="C33" s="52">
        <v>1</v>
      </c>
      <c r="F33" s="2" t="s">
        <v>68</v>
      </c>
    </row>
    <row r="34" spans="2:17" x14ac:dyDescent="0.25">
      <c r="B34" s="25" t="s">
        <v>39</v>
      </c>
      <c r="C34" s="38">
        <v>2.2499999999999999E-2</v>
      </c>
    </row>
    <row r="35" spans="2:17" x14ac:dyDescent="0.25">
      <c r="B35" s="25" t="s">
        <v>21</v>
      </c>
      <c r="C35" s="26">
        <v>46023</v>
      </c>
      <c r="F35" s="9" t="s">
        <v>29</v>
      </c>
      <c r="Q35" s="1"/>
    </row>
    <row r="36" spans="2:17" x14ac:dyDescent="0.25">
      <c r="B36" s="25" t="s">
        <v>23</v>
      </c>
      <c r="C36" s="27">
        <v>30</v>
      </c>
    </row>
    <row r="37" spans="2:17" x14ac:dyDescent="0.25">
      <c r="B37" s="25" t="s">
        <v>42</v>
      </c>
      <c r="C37" s="41">
        <v>0</v>
      </c>
      <c r="F37" s="53" t="s">
        <v>69</v>
      </c>
      <c r="Q37" s="1"/>
    </row>
    <row r="38" spans="2:17" x14ac:dyDescent="0.25">
      <c r="B38" s="25" t="s">
        <v>65</v>
      </c>
      <c r="C38" s="26">
        <v>46753</v>
      </c>
    </row>
  </sheetData>
  <scenarios current="2" show="2">
    <scenario name="All_Bonds" locked="1" count="2" user="Vanderlinde, Arjan (GE Aerospace)" comment="Created by Vanderlinde, Arjan (GE Aerospace) on 03/02/2025">
      <inputCells r="C6" val="0" numFmtId="165"/>
      <inputCells r="C10" val="2500000" numFmtId="165"/>
    </scenario>
    <scenario name="50/50" locked="1" count="2" user="Vanderlinde, Arjan (GE Aerospace)" comment="Created by Vanderlinde, Arjan (GE Aerospace) on 03/02/2025">
      <inputCells r="C6" val="1250000" numFmtId="165"/>
      <inputCells r="C10" val="1250000" numFmtId="165"/>
    </scenario>
    <scenario name="80/20 portfolio" locked="1" count="2" user="Vanderlinde, Arjan (GE Aerospace)" comment="Created by Vanderlinde, Arjan (GE Aerospace) on 03/02/2025">
      <inputCells r="C6" val="2000000" numFmtId="165"/>
      <inputCells r="C10" val="500000" numFmtId="165"/>
    </scenario>
    <scenario name="All Equity" locked="1" count="2" user="Vanderlinde, Arjan (GE Aerospace)" comment="Created by Vanderlinde, Arjan (GE Aerospace) on 03/02/2025">
      <inputCells r="C6" val="2500000" numFmtId="165"/>
      <inputCells r="C10" val="0" numFmtId="165"/>
    </scenario>
  </scenario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52BD2-23A9-4957-9A6B-8B46B895C786}">
  <sheetPr>
    <tabColor theme="7"/>
  </sheetPr>
  <dimension ref="I10:U28"/>
  <sheetViews>
    <sheetView showGridLines="0" workbookViewId="0">
      <selection activeCell="F28" sqref="F28"/>
    </sheetView>
  </sheetViews>
  <sheetFormatPr defaultRowHeight="15" x14ac:dyDescent="0.25"/>
  <cols>
    <col min="1" max="16384" width="9.140625" style="37"/>
  </cols>
  <sheetData>
    <row r="10" spans="9:21" x14ac:dyDescent="0.25">
      <c r="I10" s="62" t="s">
        <v>46</v>
      </c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</row>
    <row r="11" spans="9:21" x14ac:dyDescent="0.25"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</row>
    <row r="12" spans="9:21" x14ac:dyDescent="0.25"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</row>
    <row r="13" spans="9:21" x14ac:dyDescent="0.25"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</row>
    <row r="14" spans="9:21" x14ac:dyDescent="0.25"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</row>
    <row r="15" spans="9:21" x14ac:dyDescent="0.25"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</row>
    <row r="16" spans="9:21" x14ac:dyDescent="0.25"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</row>
    <row r="17" spans="9:21" x14ac:dyDescent="0.25"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</row>
    <row r="18" spans="9:21" x14ac:dyDescent="0.25"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</row>
    <row r="19" spans="9:21" x14ac:dyDescent="0.25"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</row>
    <row r="20" spans="9:21" x14ac:dyDescent="0.25"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</row>
    <row r="21" spans="9:21" x14ac:dyDescent="0.25"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</row>
    <row r="22" spans="9:21" x14ac:dyDescent="0.25"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</row>
    <row r="23" spans="9:21" x14ac:dyDescent="0.25"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9:21" x14ac:dyDescent="0.25"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</row>
    <row r="25" spans="9:21" x14ac:dyDescent="0.25"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</row>
    <row r="26" spans="9:21" x14ac:dyDescent="0.25"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</row>
    <row r="27" spans="9:21" ht="12.75" customHeight="1" x14ac:dyDescent="0.25"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</row>
    <row r="28" spans="9:21" x14ac:dyDescent="0.25"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</row>
  </sheetData>
  <mergeCells count="1">
    <mergeCell ref="I10:U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E9BC0-F764-4408-BA52-DFF46B06D9D3}">
  <dimension ref="A2:AA110"/>
  <sheetViews>
    <sheetView showGridLines="0" topLeftCell="M4" workbookViewId="0">
      <selection activeCell="W28" sqref="W28"/>
    </sheetView>
  </sheetViews>
  <sheetFormatPr defaultRowHeight="15" x14ac:dyDescent="0.25"/>
  <cols>
    <col min="1" max="2" width="9.140625" style="31"/>
    <col min="3" max="3" width="15.7109375" style="31" customWidth="1"/>
    <col min="4" max="4" width="23.140625" style="31" customWidth="1"/>
    <col min="5" max="5" width="21.5703125" style="31" customWidth="1"/>
    <col min="6" max="7" width="20.140625" style="31" customWidth="1"/>
    <col min="8" max="8" width="22.140625" style="31" customWidth="1"/>
    <col min="9" max="9" width="20.28515625" style="31" customWidth="1"/>
    <col min="10" max="10" width="19.140625" style="31" customWidth="1"/>
    <col min="11" max="22" width="22.5703125" style="31" customWidth="1"/>
    <col min="23" max="23" width="19.5703125" style="31" customWidth="1"/>
    <col min="24" max="24" width="9.140625" style="31"/>
    <col min="25" max="25" width="14" style="31" customWidth="1"/>
    <col min="26" max="26" width="9.140625" style="31"/>
    <col min="27" max="27" width="11.5703125" style="31" bestFit="1" customWidth="1"/>
    <col min="28" max="16384" width="9.140625" style="31"/>
  </cols>
  <sheetData>
    <row r="2" spans="1:25" x14ac:dyDescent="0.25">
      <c r="C2" s="30"/>
      <c r="E2" s="47" t="s">
        <v>57</v>
      </c>
    </row>
    <row r="3" spans="1:25" x14ac:dyDescent="0.25">
      <c r="E3" s="47" t="s">
        <v>71</v>
      </c>
    </row>
    <row r="4" spans="1:25" ht="21" x14ac:dyDescent="0.35">
      <c r="C4" s="32" t="s">
        <v>58</v>
      </c>
      <c r="E4" s="47"/>
      <c r="V4" s="35"/>
    </row>
    <row r="6" spans="1:25" x14ac:dyDescent="0.25">
      <c r="C6" s="33" t="s">
        <v>22</v>
      </c>
      <c r="D6" s="33" t="s">
        <v>43</v>
      </c>
      <c r="H6" s="33" t="s">
        <v>44</v>
      </c>
      <c r="I6" s="28"/>
      <c r="M6" s="33" t="s">
        <v>56</v>
      </c>
      <c r="P6" s="33" t="s">
        <v>53</v>
      </c>
      <c r="Q6" s="28"/>
      <c r="R6" s="28"/>
      <c r="S6" s="28"/>
      <c r="T6" s="28"/>
      <c r="U6" s="28"/>
      <c r="V6" s="28"/>
      <c r="W6" s="28" t="s">
        <v>30</v>
      </c>
    </row>
    <row r="7" spans="1:25" x14ac:dyDescent="0.25">
      <c r="D7" s="43" t="s">
        <v>33</v>
      </c>
      <c r="E7" s="43" t="s">
        <v>34</v>
      </c>
      <c r="F7" s="43" t="s">
        <v>41</v>
      </c>
      <c r="G7" s="43" t="s">
        <v>51</v>
      </c>
      <c r="H7" s="43" t="s">
        <v>47</v>
      </c>
      <c r="I7" s="43" t="s">
        <v>48</v>
      </c>
      <c r="J7" s="43" t="s">
        <v>49</v>
      </c>
      <c r="K7" s="43" t="s">
        <v>50</v>
      </c>
      <c r="L7" s="43" t="s">
        <v>55</v>
      </c>
      <c r="M7" s="46" t="s">
        <v>24</v>
      </c>
      <c r="N7" s="46" t="s">
        <v>26</v>
      </c>
      <c r="O7" s="46" t="s">
        <v>25</v>
      </c>
      <c r="P7" s="43" t="s">
        <v>48</v>
      </c>
      <c r="Q7" s="43" t="s">
        <v>49</v>
      </c>
      <c r="R7" s="43" t="s">
        <v>50</v>
      </c>
      <c r="S7" s="43" t="s">
        <v>55</v>
      </c>
      <c r="T7" s="43" t="s">
        <v>54</v>
      </c>
      <c r="U7" s="43" t="s">
        <v>25</v>
      </c>
      <c r="V7" s="43" t="s">
        <v>52</v>
      </c>
      <c r="W7" s="43" t="s">
        <v>35</v>
      </c>
    </row>
    <row r="8" spans="1:25" x14ac:dyDescent="0.25">
      <c r="A8" s="35"/>
      <c r="C8" s="34">
        <f>Parameters!C35</f>
        <v>46023</v>
      </c>
      <c r="D8" s="35">
        <f>equity_start</f>
        <v>1000000</v>
      </c>
      <c r="E8" s="35">
        <f>bonds_start</f>
        <v>0</v>
      </c>
      <c r="F8" s="35">
        <f>prop_start</f>
        <v>0</v>
      </c>
      <c r="G8" s="35">
        <f>Parameters!C15</f>
        <v>0</v>
      </c>
      <c r="H8" s="35">
        <f t="shared" ref="H8:H39" si="0">growth_rate*D8</f>
        <v>70000</v>
      </c>
      <c r="I8" s="35">
        <f t="shared" ref="I8:I39" si="1">dividend*D8</f>
        <v>0</v>
      </c>
      <c r="J8" s="35">
        <f t="shared" ref="J8:J39" si="2">coupon/bonds_par*E8</f>
        <v>0</v>
      </c>
      <c r="K8" s="35">
        <f>prop_yield*F8</f>
        <v>0</v>
      </c>
      <c r="L8" s="35">
        <f t="shared" ref="L8:L39" si="3">cash_yield*G8</f>
        <v>0</v>
      </c>
      <c r="M8" s="36" t="str">
        <f t="shared" ref="M8:M39" si="4">IF(YEAR(C8) &lt; regime_change, "OLD", "NEW")</f>
        <v>OLD</v>
      </c>
      <c r="N8" s="35">
        <f t="shared" ref="N8:N39" si="5">IF(M8="OLD", (D8+E8+F8-b3_current_franchise)*b3_fiction+G8*b3_cash_fiction, (SUM(H8:L8)-b3_future_franchise))</f>
        <v>69888</v>
      </c>
      <c r="O8" s="35">
        <f t="shared" ref="O8:O9" si="6">IF(M8="OLD", N8*b3_rate_current, N8*b3_rate_future)</f>
        <v>25159.68</v>
      </c>
      <c r="P8" s="35">
        <f>I8</f>
        <v>0</v>
      </c>
      <c r="Q8" s="35">
        <f>J8</f>
        <v>0</v>
      </c>
      <c r="R8" s="35">
        <f>K8</f>
        <v>0</v>
      </c>
      <c r="S8" s="35">
        <f>L8</f>
        <v>0</v>
      </c>
      <c r="T8" s="35">
        <f>IF(YEAR(C8)&lt; YEAR(draw_down_date), 0, IF(YEAR(C8) = YEAR(draw_down_date), draw_down, T7*(1+inflation)))</f>
        <v>0</v>
      </c>
      <c r="U8" s="35">
        <f>O8</f>
        <v>25159.68</v>
      </c>
      <c r="V8" s="35">
        <f>P8+Q8+R8+S8-T8-U8</f>
        <v>-25159.68</v>
      </c>
      <c r="W8" s="35">
        <f>D8+E8+F8+G8+H8+I8+J8+K8+L8-O8-T8</f>
        <v>1044840.32</v>
      </c>
      <c r="Y8" s="35"/>
    </row>
    <row r="9" spans="1:25" x14ac:dyDescent="0.25">
      <c r="A9" s="35"/>
      <c r="C9" s="34">
        <f>DATE(YEAR(C8)+1,1,1)</f>
        <v>46388</v>
      </c>
      <c r="D9" s="35">
        <f>D8+H8+IF(V8&gt;0, V8*reinvestment_mix, 0)</f>
        <v>1070000</v>
      </c>
      <c r="E9" s="35">
        <f>E8</f>
        <v>0</v>
      </c>
      <c r="F9" s="35">
        <f>F8</f>
        <v>0</v>
      </c>
      <c r="G9" s="35">
        <f t="shared" ref="G9:G40" si="7">IF(V8&lt;0, G8+V8, G8+V8*(1-reinvestment_mix))</f>
        <v>-25159.68</v>
      </c>
      <c r="H9" s="35">
        <f t="shared" si="0"/>
        <v>74900</v>
      </c>
      <c r="I9" s="35">
        <f t="shared" si="1"/>
        <v>0</v>
      </c>
      <c r="J9" s="35">
        <f t="shared" si="2"/>
        <v>0</v>
      </c>
      <c r="K9" s="35">
        <f t="shared" ref="K9:K40" si="8">K8*(1+inflation)</f>
        <v>0</v>
      </c>
      <c r="L9" s="35">
        <f t="shared" si="3"/>
        <v>-503.1936</v>
      </c>
      <c r="M9" s="36" t="str">
        <f t="shared" si="4"/>
        <v>OLD</v>
      </c>
      <c r="N9" s="35">
        <f t="shared" si="5"/>
        <v>74970.604800000001</v>
      </c>
      <c r="O9" s="35">
        <f t="shared" si="6"/>
        <v>26989.417728</v>
      </c>
      <c r="P9" s="35">
        <f t="shared" ref="P9:P72" si="9">I9</f>
        <v>0</v>
      </c>
      <c r="Q9" s="35">
        <f t="shared" ref="Q9:Q72" si="10">J9</f>
        <v>0</v>
      </c>
      <c r="R9" s="35">
        <f>K9</f>
        <v>0</v>
      </c>
      <c r="S9" s="35">
        <f>L9</f>
        <v>-503.1936</v>
      </c>
      <c r="T9" s="35">
        <f t="shared" ref="T9:T39" si="11">IF(YEAR(C9)&lt; YEAR(draw_down_date), 0, IF(YEAR(C9) = YEAR(draw_down_date), draw_down, T8*(1+inflation)))</f>
        <v>0</v>
      </c>
      <c r="U9" s="35">
        <f>O9</f>
        <v>26989.417728</v>
      </c>
      <c r="V9" s="35">
        <f>P9+Q9+R9+S9-T9-U9</f>
        <v>-27492.611327999999</v>
      </c>
      <c r="W9" s="35">
        <f t="shared" ref="W9:W72" si="12">D9+E9+F9+G9+H9+I9+J9+K9+L9-O9-T9</f>
        <v>1092247.7086719996</v>
      </c>
      <c r="Y9" s="35"/>
    </row>
    <row r="10" spans="1:25" x14ac:dyDescent="0.25">
      <c r="A10" s="35"/>
      <c r="C10" s="34">
        <f t="shared" ref="C10:C73" si="13">IF(ROW(C9)-ROW($C$8) &lt;= hoelang, DATE(YEAR(C9)+1,1,1), "")</f>
        <v>46753</v>
      </c>
      <c r="D10" s="35">
        <f t="shared" ref="D10:D40" si="14">D9+H9+IF(V9&gt;0, V9*reinvestment_mix, 0)</f>
        <v>1144900</v>
      </c>
      <c r="E10" s="35">
        <f t="shared" ref="E10:E73" si="15">E9</f>
        <v>0</v>
      </c>
      <c r="F10" s="35">
        <f t="shared" ref="F10:F73" si="16">F9</f>
        <v>0</v>
      </c>
      <c r="G10" s="35">
        <f t="shared" si="7"/>
        <v>-52652.291327999999</v>
      </c>
      <c r="H10" s="35">
        <f t="shared" si="0"/>
        <v>80143.000000000015</v>
      </c>
      <c r="I10" s="35">
        <f t="shared" si="1"/>
        <v>0</v>
      </c>
      <c r="J10" s="35">
        <f t="shared" si="2"/>
        <v>0</v>
      </c>
      <c r="K10" s="35">
        <f t="shared" si="8"/>
        <v>0</v>
      </c>
      <c r="L10" s="35">
        <f t="shared" si="3"/>
        <v>-1053.04582656</v>
      </c>
      <c r="M10" s="36" t="str">
        <f t="shared" si="4"/>
        <v>NEW</v>
      </c>
      <c r="N10" s="35">
        <f t="shared" si="5"/>
        <v>74089.954173440012</v>
      </c>
      <c r="O10" s="35">
        <f t="shared" ref="O10:O73" si="17">IF(M10="OLD", N10*b3_rate_current, N10*b3_rate_future)</f>
        <v>26672.383502438403</v>
      </c>
      <c r="P10" s="35">
        <f t="shared" si="9"/>
        <v>0</v>
      </c>
      <c r="Q10" s="35">
        <f t="shared" si="10"/>
        <v>0</v>
      </c>
      <c r="R10" s="35">
        <f t="shared" ref="R10:R73" si="18">K10</f>
        <v>0</v>
      </c>
      <c r="S10" s="35">
        <f t="shared" ref="S10:S73" si="19">L10</f>
        <v>-1053.04582656</v>
      </c>
      <c r="T10" s="35">
        <f t="shared" si="11"/>
        <v>0</v>
      </c>
      <c r="U10" s="35">
        <f t="shared" ref="U10:U73" si="20">O10</f>
        <v>26672.383502438403</v>
      </c>
      <c r="V10" s="35">
        <f t="shared" ref="V10:V73" si="21">P10+Q10+R10+S10-T10-U10</f>
        <v>-27725.429328998402</v>
      </c>
      <c r="W10" s="35">
        <f t="shared" si="12"/>
        <v>1144665.2793430018</v>
      </c>
      <c r="Y10" s="35"/>
    </row>
    <row r="11" spans="1:25" x14ac:dyDescent="0.25">
      <c r="A11" s="35"/>
      <c r="C11" s="34">
        <f t="shared" si="13"/>
        <v>47119</v>
      </c>
      <c r="D11" s="35">
        <f t="shared" si="14"/>
        <v>1225043</v>
      </c>
      <c r="E11" s="35">
        <f t="shared" si="15"/>
        <v>0</v>
      </c>
      <c r="F11" s="35">
        <f t="shared" si="16"/>
        <v>0</v>
      </c>
      <c r="G11" s="35">
        <f t="shared" si="7"/>
        <v>-80377.720656998397</v>
      </c>
      <c r="H11" s="35">
        <f t="shared" si="0"/>
        <v>85753.010000000009</v>
      </c>
      <c r="I11" s="35">
        <f t="shared" si="1"/>
        <v>0</v>
      </c>
      <c r="J11" s="35">
        <f t="shared" si="2"/>
        <v>0</v>
      </c>
      <c r="K11" s="35">
        <f t="shared" si="8"/>
        <v>0</v>
      </c>
      <c r="L11" s="35">
        <f t="shared" si="3"/>
        <v>-1607.5544131399679</v>
      </c>
      <c r="M11" s="36" t="str">
        <f t="shared" si="4"/>
        <v>NEW</v>
      </c>
      <c r="N11" s="35">
        <f t="shared" si="5"/>
        <v>79145.455586860044</v>
      </c>
      <c r="O11" s="35">
        <f t="shared" si="17"/>
        <v>28492.364011269616</v>
      </c>
      <c r="P11" s="35">
        <f t="shared" si="9"/>
        <v>0</v>
      </c>
      <c r="Q11" s="35">
        <f t="shared" si="10"/>
        <v>0</v>
      </c>
      <c r="R11" s="35">
        <f t="shared" si="18"/>
        <v>0</v>
      </c>
      <c r="S11" s="35">
        <f t="shared" si="19"/>
        <v>-1607.5544131399679</v>
      </c>
      <c r="T11" s="35">
        <f t="shared" si="11"/>
        <v>0</v>
      </c>
      <c r="U11" s="35">
        <f t="shared" si="20"/>
        <v>28492.364011269616</v>
      </c>
      <c r="V11" s="35">
        <f t="shared" si="21"/>
        <v>-30099.918424409585</v>
      </c>
      <c r="W11" s="35">
        <f t="shared" si="12"/>
        <v>1200318.370918592</v>
      </c>
      <c r="Y11" s="35"/>
    </row>
    <row r="12" spans="1:25" x14ac:dyDescent="0.25">
      <c r="A12" s="35"/>
      <c r="C12" s="34">
        <f t="shared" si="13"/>
        <v>47484</v>
      </c>
      <c r="D12" s="35">
        <f t="shared" si="14"/>
        <v>1310796.01</v>
      </c>
      <c r="E12" s="35">
        <f t="shared" si="15"/>
        <v>0</v>
      </c>
      <c r="F12" s="35">
        <f t="shared" si="16"/>
        <v>0</v>
      </c>
      <c r="G12" s="35">
        <f t="shared" si="7"/>
        <v>-110477.63908140798</v>
      </c>
      <c r="H12" s="35">
        <f t="shared" si="0"/>
        <v>91755.720700000005</v>
      </c>
      <c r="I12" s="35">
        <f t="shared" si="1"/>
        <v>0</v>
      </c>
      <c r="J12" s="35">
        <f t="shared" si="2"/>
        <v>0</v>
      </c>
      <c r="K12" s="35">
        <f t="shared" si="8"/>
        <v>0</v>
      </c>
      <c r="L12" s="35">
        <f t="shared" si="3"/>
        <v>-2209.5527816281597</v>
      </c>
      <c r="M12" s="36" t="str">
        <f t="shared" si="4"/>
        <v>NEW</v>
      </c>
      <c r="N12" s="35">
        <f t="shared" si="5"/>
        <v>84546.167918371852</v>
      </c>
      <c r="O12" s="35">
        <f t="shared" si="17"/>
        <v>30436.620450613864</v>
      </c>
      <c r="P12" s="35">
        <f t="shared" si="9"/>
        <v>0</v>
      </c>
      <c r="Q12" s="35">
        <f t="shared" si="10"/>
        <v>0</v>
      </c>
      <c r="R12" s="35">
        <f t="shared" si="18"/>
        <v>0</v>
      </c>
      <c r="S12" s="35">
        <f t="shared" si="19"/>
        <v>-2209.5527816281597</v>
      </c>
      <c r="T12" s="35">
        <f t="shared" si="11"/>
        <v>0</v>
      </c>
      <c r="U12" s="35">
        <f t="shared" si="20"/>
        <v>30436.620450613864</v>
      </c>
      <c r="V12" s="35">
        <f t="shared" si="21"/>
        <v>-32646.173232242025</v>
      </c>
      <c r="W12" s="35">
        <f t="shared" si="12"/>
        <v>1259427.9183863499</v>
      </c>
      <c r="Y12" s="35"/>
    </row>
    <row r="13" spans="1:25" x14ac:dyDescent="0.25">
      <c r="A13" s="35"/>
      <c r="C13" s="34">
        <f t="shared" si="13"/>
        <v>47849</v>
      </c>
      <c r="D13" s="35">
        <f t="shared" si="14"/>
        <v>1402551.7307</v>
      </c>
      <c r="E13" s="35">
        <f t="shared" si="15"/>
        <v>0</v>
      </c>
      <c r="F13" s="35">
        <f t="shared" si="16"/>
        <v>0</v>
      </c>
      <c r="G13" s="35">
        <f t="shared" si="7"/>
        <v>-143123.81231365001</v>
      </c>
      <c r="H13" s="35">
        <f t="shared" si="0"/>
        <v>98178.621149000013</v>
      </c>
      <c r="I13" s="35">
        <f t="shared" si="1"/>
        <v>0</v>
      </c>
      <c r="J13" s="35">
        <f t="shared" si="2"/>
        <v>0</v>
      </c>
      <c r="K13" s="35">
        <f t="shared" si="8"/>
        <v>0</v>
      </c>
      <c r="L13" s="35">
        <f t="shared" si="3"/>
        <v>-2862.476246273</v>
      </c>
      <c r="M13" s="36" t="str">
        <f t="shared" si="4"/>
        <v>NEW</v>
      </c>
      <c r="N13" s="35">
        <f t="shared" si="5"/>
        <v>90316.144902727014</v>
      </c>
      <c r="O13" s="35">
        <f t="shared" si="17"/>
        <v>32513.812164981722</v>
      </c>
      <c r="P13" s="35">
        <f t="shared" si="9"/>
        <v>0</v>
      </c>
      <c r="Q13" s="35">
        <f t="shared" si="10"/>
        <v>0</v>
      </c>
      <c r="R13" s="35">
        <f t="shared" si="18"/>
        <v>0</v>
      </c>
      <c r="S13" s="35">
        <f t="shared" si="19"/>
        <v>-2862.476246273</v>
      </c>
      <c r="T13" s="35">
        <f t="shared" si="11"/>
        <v>0</v>
      </c>
      <c r="U13" s="35">
        <f t="shared" si="20"/>
        <v>32513.812164981722</v>
      </c>
      <c r="V13" s="35">
        <f t="shared" si="21"/>
        <v>-35376.288411254725</v>
      </c>
      <c r="W13" s="35">
        <f t="shared" si="12"/>
        <v>1322230.2511240954</v>
      </c>
      <c r="Y13" s="35"/>
    </row>
    <row r="14" spans="1:25" x14ac:dyDescent="0.25">
      <c r="A14" s="35"/>
      <c r="C14" s="34">
        <f t="shared" si="13"/>
        <v>48214</v>
      </c>
      <c r="D14" s="35">
        <f t="shared" si="14"/>
        <v>1500730.351849</v>
      </c>
      <c r="E14" s="35">
        <f t="shared" si="15"/>
        <v>0</v>
      </c>
      <c r="F14" s="35">
        <f t="shared" si="16"/>
        <v>0</v>
      </c>
      <c r="G14" s="35">
        <f t="shared" si="7"/>
        <v>-178500.10072490474</v>
      </c>
      <c r="H14" s="35">
        <f t="shared" si="0"/>
        <v>105051.12462943001</v>
      </c>
      <c r="I14" s="35">
        <f t="shared" si="1"/>
        <v>0</v>
      </c>
      <c r="J14" s="35">
        <f t="shared" si="2"/>
        <v>0</v>
      </c>
      <c r="K14" s="35">
        <f t="shared" si="8"/>
        <v>0</v>
      </c>
      <c r="L14" s="35">
        <f t="shared" si="3"/>
        <v>-3570.0020144980949</v>
      </c>
      <c r="M14" s="36" t="str">
        <f t="shared" si="4"/>
        <v>NEW</v>
      </c>
      <c r="N14" s="35">
        <f t="shared" si="5"/>
        <v>96481.122614931912</v>
      </c>
      <c r="O14" s="35">
        <f t="shared" si="17"/>
        <v>34733.204141375485</v>
      </c>
      <c r="P14" s="35">
        <f t="shared" si="9"/>
        <v>0</v>
      </c>
      <c r="Q14" s="35">
        <f t="shared" si="10"/>
        <v>0</v>
      </c>
      <c r="R14" s="35">
        <f t="shared" si="18"/>
        <v>0</v>
      </c>
      <c r="S14" s="35">
        <f t="shared" si="19"/>
        <v>-3570.0020144980949</v>
      </c>
      <c r="T14" s="35">
        <f t="shared" si="11"/>
        <v>0</v>
      </c>
      <c r="U14" s="35">
        <f t="shared" si="20"/>
        <v>34733.204141375485</v>
      </c>
      <c r="V14" s="35">
        <f t="shared" si="21"/>
        <v>-38303.20615587358</v>
      </c>
      <c r="W14" s="35">
        <f t="shared" si="12"/>
        <v>1388978.1695976518</v>
      </c>
      <c r="Y14" s="35"/>
    </row>
    <row r="15" spans="1:25" x14ac:dyDescent="0.25">
      <c r="A15" s="35"/>
      <c r="C15" s="34">
        <f t="shared" si="13"/>
        <v>48580</v>
      </c>
      <c r="D15" s="35">
        <f t="shared" si="14"/>
        <v>1605781.47647843</v>
      </c>
      <c r="E15" s="35">
        <f t="shared" si="15"/>
        <v>0</v>
      </c>
      <c r="F15" s="35">
        <f t="shared" si="16"/>
        <v>0</v>
      </c>
      <c r="G15" s="35">
        <f t="shared" si="7"/>
        <v>-216803.30688077831</v>
      </c>
      <c r="H15" s="35">
        <f t="shared" si="0"/>
        <v>112404.70335349011</v>
      </c>
      <c r="I15" s="35">
        <f t="shared" si="1"/>
        <v>0</v>
      </c>
      <c r="J15" s="35">
        <f t="shared" si="2"/>
        <v>0</v>
      </c>
      <c r="K15" s="35">
        <f t="shared" si="8"/>
        <v>0</v>
      </c>
      <c r="L15" s="35">
        <f t="shared" si="3"/>
        <v>-4336.0661376155667</v>
      </c>
      <c r="M15" s="36" t="str">
        <f t="shared" si="4"/>
        <v>NEW</v>
      </c>
      <c r="N15" s="35">
        <f t="shared" si="5"/>
        <v>103068.63721587455</v>
      </c>
      <c r="O15" s="35">
        <f t="shared" si="17"/>
        <v>37104.70939771484</v>
      </c>
      <c r="P15" s="35">
        <f t="shared" si="9"/>
        <v>0</v>
      </c>
      <c r="Q15" s="35">
        <f t="shared" si="10"/>
        <v>0</v>
      </c>
      <c r="R15" s="35">
        <f t="shared" si="18"/>
        <v>0</v>
      </c>
      <c r="S15" s="35">
        <f t="shared" si="19"/>
        <v>-4336.0661376155667</v>
      </c>
      <c r="T15" s="35">
        <f t="shared" si="11"/>
        <v>0</v>
      </c>
      <c r="U15" s="35">
        <f t="shared" si="20"/>
        <v>37104.70939771484</v>
      </c>
      <c r="V15" s="35">
        <f t="shared" si="21"/>
        <v>-41440.775535330409</v>
      </c>
      <c r="W15" s="35">
        <f t="shared" si="12"/>
        <v>1459942.0974158114</v>
      </c>
      <c r="Y15" s="35"/>
    </row>
    <row r="16" spans="1:25" x14ac:dyDescent="0.25">
      <c r="A16" s="35"/>
      <c r="C16" s="34">
        <f t="shared" si="13"/>
        <v>48945</v>
      </c>
      <c r="D16" s="35">
        <f t="shared" si="14"/>
        <v>1718186.1798319202</v>
      </c>
      <c r="E16" s="35">
        <f t="shared" si="15"/>
        <v>0</v>
      </c>
      <c r="F16" s="35">
        <f t="shared" si="16"/>
        <v>0</v>
      </c>
      <c r="G16" s="35">
        <f t="shared" si="7"/>
        <v>-258244.08241610872</v>
      </c>
      <c r="H16" s="35">
        <f t="shared" si="0"/>
        <v>120273.03258823442</v>
      </c>
      <c r="I16" s="35">
        <f t="shared" si="1"/>
        <v>0</v>
      </c>
      <c r="J16" s="35">
        <f t="shared" si="2"/>
        <v>0</v>
      </c>
      <c r="K16" s="35">
        <f t="shared" si="8"/>
        <v>0</v>
      </c>
      <c r="L16" s="35">
        <f t="shared" si="3"/>
        <v>-5164.8816483221744</v>
      </c>
      <c r="M16" s="36" t="str">
        <f t="shared" si="4"/>
        <v>NEW</v>
      </c>
      <c r="N16" s="35">
        <f t="shared" si="5"/>
        <v>110108.15093991224</v>
      </c>
      <c r="O16" s="35">
        <f t="shared" si="17"/>
        <v>39638.93433836841</v>
      </c>
      <c r="P16" s="35">
        <f t="shared" si="9"/>
        <v>0</v>
      </c>
      <c r="Q16" s="35">
        <f t="shared" si="10"/>
        <v>0</v>
      </c>
      <c r="R16" s="35">
        <f t="shared" si="18"/>
        <v>0</v>
      </c>
      <c r="S16" s="35">
        <f t="shared" si="19"/>
        <v>-5164.8816483221744</v>
      </c>
      <c r="T16" s="35">
        <f t="shared" si="11"/>
        <v>0</v>
      </c>
      <c r="U16" s="35">
        <f t="shared" si="20"/>
        <v>39638.93433836841</v>
      </c>
      <c r="V16" s="35">
        <f t="shared" si="21"/>
        <v>-44803.815986690584</v>
      </c>
      <c r="W16" s="35">
        <f t="shared" si="12"/>
        <v>1535411.3140173552</v>
      </c>
      <c r="Y16" s="35"/>
    </row>
    <row r="17" spans="1:27" x14ac:dyDescent="0.25">
      <c r="A17" s="35"/>
      <c r="C17" s="34">
        <f t="shared" si="13"/>
        <v>49310</v>
      </c>
      <c r="D17" s="35">
        <f t="shared" si="14"/>
        <v>1838459.2124201546</v>
      </c>
      <c r="E17" s="35">
        <f t="shared" si="15"/>
        <v>0</v>
      </c>
      <c r="F17" s="35">
        <f t="shared" si="16"/>
        <v>0</v>
      </c>
      <c r="G17" s="35">
        <f t="shared" si="7"/>
        <v>-303047.89840279933</v>
      </c>
      <c r="H17" s="35">
        <f t="shared" si="0"/>
        <v>128692.14486941084</v>
      </c>
      <c r="I17" s="35">
        <f t="shared" si="1"/>
        <v>0</v>
      </c>
      <c r="J17" s="35">
        <f t="shared" si="2"/>
        <v>0</v>
      </c>
      <c r="K17" s="35">
        <f t="shared" si="8"/>
        <v>0</v>
      </c>
      <c r="L17" s="35">
        <f t="shared" si="3"/>
        <v>-6060.9579680559864</v>
      </c>
      <c r="M17" s="36" t="str">
        <f t="shared" si="4"/>
        <v>NEW</v>
      </c>
      <c r="N17" s="35">
        <f t="shared" si="5"/>
        <v>117631.18690135486</v>
      </c>
      <c r="O17" s="35">
        <f t="shared" si="17"/>
        <v>42347.227284487744</v>
      </c>
      <c r="P17" s="35">
        <f t="shared" si="9"/>
        <v>0</v>
      </c>
      <c r="Q17" s="35">
        <f t="shared" si="10"/>
        <v>0</v>
      </c>
      <c r="R17" s="35">
        <f t="shared" si="18"/>
        <v>0</v>
      </c>
      <c r="S17" s="35">
        <f t="shared" si="19"/>
        <v>-6060.9579680559864</v>
      </c>
      <c r="T17" s="35">
        <f t="shared" si="11"/>
        <v>0</v>
      </c>
      <c r="U17" s="35">
        <f t="shared" si="20"/>
        <v>42347.227284487744</v>
      </c>
      <c r="V17" s="35">
        <f t="shared" si="21"/>
        <v>-48408.185252543728</v>
      </c>
      <c r="W17" s="35">
        <f t="shared" si="12"/>
        <v>1615695.2736342223</v>
      </c>
      <c r="Y17" s="35"/>
    </row>
    <row r="18" spans="1:27" s="10" customFormat="1" x14ac:dyDescent="0.25">
      <c r="A18" s="60"/>
      <c r="C18" s="59">
        <f t="shared" si="13"/>
        <v>49675</v>
      </c>
      <c r="D18" s="60">
        <f t="shared" si="14"/>
        <v>1967151.3572895655</v>
      </c>
      <c r="E18" s="60">
        <f t="shared" si="15"/>
        <v>0</v>
      </c>
      <c r="F18" s="60">
        <f t="shared" si="16"/>
        <v>0</v>
      </c>
      <c r="G18" s="60">
        <f t="shared" si="7"/>
        <v>-351456.08365534304</v>
      </c>
      <c r="H18" s="60">
        <f t="shared" si="0"/>
        <v>137700.59501026961</v>
      </c>
      <c r="I18" s="60">
        <f t="shared" si="1"/>
        <v>0</v>
      </c>
      <c r="J18" s="60">
        <f t="shared" si="2"/>
        <v>0</v>
      </c>
      <c r="K18" s="60">
        <f t="shared" si="8"/>
        <v>0</v>
      </c>
      <c r="L18" s="60">
        <f t="shared" si="3"/>
        <v>-7029.1216731068607</v>
      </c>
      <c r="M18" s="61" t="str">
        <f t="shared" si="4"/>
        <v>NEW</v>
      </c>
      <c r="N18" s="60">
        <f t="shared" si="5"/>
        <v>125671.47333716275</v>
      </c>
      <c r="O18" s="60">
        <f t="shared" si="17"/>
        <v>45241.730401378591</v>
      </c>
      <c r="P18" s="60">
        <f t="shared" si="9"/>
        <v>0</v>
      </c>
      <c r="Q18" s="60">
        <f t="shared" si="10"/>
        <v>0</v>
      </c>
      <c r="R18" s="60">
        <f t="shared" si="18"/>
        <v>0</v>
      </c>
      <c r="S18" s="60">
        <f t="shared" si="19"/>
        <v>-7029.1216731068607</v>
      </c>
      <c r="T18" s="60">
        <f t="shared" si="11"/>
        <v>0</v>
      </c>
      <c r="U18" s="60">
        <f t="shared" si="20"/>
        <v>45241.730401378591</v>
      </c>
      <c r="V18" s="60">
        <f t="shared" si="21"/>
        <v>-52270.852074485454</v>
      </c>
      <c r="W18" s="60">
        <f t="shared" si="12"/>
        <v>1701125.0165700065</v>
      </c>
      <c r="Y18" s="60"/>
    </row>
    <row r="19" spans="1:27" x14ac:dyDescent="0.25">
      <c r="A19" s="35"/>
      <c r="C19" s="34">
        <f t="shared" si="13"/>
        <v>50041</v>
      </c>
      <c r="D19" s="35">
        <f t="shared" si="14"/>
        <v>2104851.9522998352</v>
      </c>
      <c r="E19" s="35">
        <f t="shared" si="15"/>
        <v>0</v>
      </c>
      <c r="F19" s="35">
        <f t="shared" si="16"/>
        <v>0</v>
      </c>
      <c r="G19" s="35">
        <f t="shared" si="7"/>
        <v>-403726.93572982849</v>
      </c>
      <c r="H19" s="35">
        <f t="shared" si="0"/>
        <v>147339.63666098847</v>
      </c>
      <c r="I19" s="35">
        <f t="shared" si="1"/>
        <v>0</v>
      </c>
      <c r="J19" s="35">
        <f t="shared" si="2"/>
        <v>0</v>
      </c>
      <c r="K19" s="35">
        <f t="shared" si="8"/>
        <v>0</v>
      </c>
      <c r="L19" s="35">
        <f t="shared" si="3"/>
        <v>-8074.5387145965697</v>
      </c>
      <c r="M19" s="36" t="str">
        <f t="shared" si="4"/>
        <v>NEW</v>
      </c>
      <c r="N19" s="35">
        <f t="shared" si="5"/>
        <v>134265.09794639191</v>
      </c>
      <c r="O19" s="35">
        <f t="shared" si="17"/>
        <v>48335.435260701088</v>
      </c>
      <c r="P19" s="35">
        <f t="shared" si="9"/>
        <v>0</v>
      </c>
      <c r="Q19" s="35">
        <f t="shared" si="10"/>
        <v>0</v>
      </c>
      <c r="R19" s="35">
        <f t="shared" si="18"/>
        <v>0</v>
      </c>
      <c r="S19" s="35">
        <f t="shared" si="19"/>
        <v>-8074.5387145965697</v>
      </c>
      <c r="T19" s="35">
        <f t="shared" si="11"/>
        <v>0</v>
      </c>
      <c r="U19" s="35">
        <f t="shared" si="20"/>
        <v>48335.435260701088</v>
      </c>
      <c r="V19" s="35">
        <f t="shared" si="21"/>
        <v>-56409.97397529766</v>
      </c>
      <c r="W19" s="35">
        <f t="shared" si="12"/>
        <v>1792054.6792556976</v>
      </c>
      <c r="Y19" s="35"/>
    </row>
    <row r="20" spans="1:27" x14ac:dyDescent="0.25">
      <c r="A20" s="35"/>
      <c r="C20" s="34">
        <f t="shared" si="13"/>
        <v>50406</v>
      </c>
      <c r="D20" s="35">
        <f t="shared" si="14"/>
        <v>2252191.5889608236</v>
      </c>
      <c r="E20" s="35">
        <f t="shared" si="15"/>
        <v>0</v>
      </c>
      <c r="F20" s="35">
        <f t="shared" si="16"/>
        <v>0</v>
      </c>
      <c r="G20" s="35">
        <f t="shared" si="7"/>
        <v>-460136.90970512613</v>
      </c>
      <c r="H20" s="35">
        <f t="shared" si="0"/>
        <v>157653.41122725766</v>
      </c>
      <c r="I20" s="35">
        <f t="shared" si="1"/>
        <v>0</v>
      </c>
      <c r="J20" s="35">
        <f t="shared" si="2"/>
        <v>0</v>
      </c>
      <c r="K20" s="35">
        <f t="shared" si="8"/>
        <v>0</v>
      </c>
      <c r="L20" s="35">
        <f t="shared" si="3"/>
        <v>-9202.7381941025233</v>
      </c>
      <c r="M20" s="36" t="str">
        <f t="shared" si="4"/>
        <v>NEW</v>
      </c>
      <c r="N20" s="35">
        <f t="shared" si="5"/>
        <v>143450.67303315515</v>
      </c>
      <c r="O20" s="35">
        <f t="shared" si="17"/>
        <v>51642.242291935851</v>
      </c>
      <c r="P20" s="35">
        <f t="shared" si="9"/>
        <v>0</v>
      </c>
      <c r="Q20" s="35">
        <f t="shared" si="10"/>
        <v>0</v>
      </c>
      <c r="R20" s="35">
        <f t="shared" si="18"/>
        <v>0</v>
      </c>
      <c r="S20" s="35">
        <f t="shared" si="19"/>
        <v>-9202.7381941025233</v>
      </c>
      <c r="T20" s="35">
        <f t="shared" si="11"/>
        <v>0</v>
      </c>
      <c r="U20" s="35">
        <f t="shared" si="20"/>
        <v>51642.242291935851</v>
      </c>
      <c r="V20" s="35">
        <f t="shared" si="21"/>
        <v>-60844.980486038374</v>
      </c>
      <c r="W20" s="35">
        <f t="shared" si="12"/>
        <v>1888863.1099969167</v>
      </c>
      <c r="Y20" s="35"/>
    </row>
    <row r="21" spans="1:27" x14ac:dyDescent="0.25">
      <c r="A21" s="35"/>
      <c r="C21" s="34">
        <f t="shared" si="13"/>
        <v>50771</v>
      </c>
      <c r="D21" s="35">
        <f t="shared" si="14"/>
        <v>2409845.0001880811</v>
      </c>
      <c r="E21" s="35">
        <f t="shared" si="15"/>
        <v>0</v>
      </c>
      <c r="F21" s="35">
        <f t="shared" si="16"/>
        <v>0</v>
      </c>
      <c r="G21" s="35">
        <f t="shared" si="7"/>
        <v>-520981.89019116451</v>
      </c>
      <c r="H21" s="35">
        <f t="shared" si="0"/>
        <v>168689.15001316569</v>
      </c>
      <c r="I21" s="35">
        <f t="shared" si="1"/>
        <v>0</v>
      </c>
      <c r="J21" s="35">
        <f t="shared" si="2"/>
        <v>0</v>
      </c>
      <c r="K21" s="35">
        <f t="shared" si="8"/>
        <v>0</v>
      </c>
      <c r="L21" s="35">
        <f t="shared" si="3"/>
        <v>-10419.637803823291</v>
      </c>
      <c r="M21" s="36" t="str">
        <f t="shared" si="4"/>
        <v>NEW</v>
      </c>
      <c r="N21" s="35">
        <f t="shared" si="5"/>
        <v>153269.51220934241</v>
      </c>
      <c r="O21" s="35">
        <f t="shared" si="17"/>
        <v>55177.024395363267</v>
      </c>
      <c r="P21" s="35">
        <f t="shared" si="9"/>
        <v>0</v>
      </c>
      <c r="Q21" s="35">
        <f t="shared" si="10"/>
        <v>0</v>
      </c>
      <c r="R21" s="35">
        <f t="shared" si="18"/>
        <v>0</v>
      </c>
      <c r="S21" s="35">
        <f t="shared" si="19"/>
        <v>-10419.637803823291</v>
      </c>
      <c r="T21" s="35">
        <f t="shared" si="11"/>
        <v>0</v>
      </c>
      <c r="U21" s="35">
        <f t="shared" si="20"/>
        <v>55177.024395363267</v>
      </c>
      <c r="V21" s="35">
        <f t="shared" si="21"/>
        <v>-65596.662199186554</v>
      </c>
      <c r="W21" s="35">
        <f t="shared" si="12"/>
        <v>1991955.5978108959</v>
      </c>
      <c r="Y21" s="35"/>
    </row>
    <row r="22" spans="1:27" x14ac:dyDescent="0.25">
      <c r="A22" s="35"/>
      <c r="C22" s="34">
        <f t="shared" si="13"/>
        <v>51136</v>
      </c>
      <c r="D22" s="35">
        <f t="shared" si="14"/>
        <v>2578534.1502012466</v>
      </c>
      <c r="E22" s="35">
        <f t="shared" si="15"/>
        <v>0</v>
      </c>
      <c r="F22" s="35">
        <f t="shared" si="16"/>
        <v>0</v>
      </c>
      <c r="G22" s="35">
        <f t="shared" si="7"/>
        <v>-586578.55239035108</v>
      </c>
      <c r="H22" s="35">
        <f t="shared" si="0"/>
        <v>180497.39051408728</v>
      </c>
      <c r="I22" s="35">
        <f t="shared" si="1"/>
        <v>0</v>
      </c>
      <c r="J22" s="35">
        <f t="shared" si="2"/>
        <v>0</v>
      </c>
      <c r="K22" s="35">
        <f t="shared" si="8"/>
        <v>0</v>
      </c>
      <c r="L22" s="35">
        <f t="shared" si="3"/>
        <v>-11731.571047807021</v>
      </c>
      <c r="M22" s="36" t="str">
        <f t="shared" si="4"/>
        <v>NEW</v>
      </c>
      <c r="N22" s="35">
        <f t="shared" si="5"/>
        <v>163765.81946628026</v>
      </c>
      <c r="O22" s="35">
        <f t="shared" si="17"/>
        <v>58955.695007860893</v>
      </c>
      <c r="P22" s="35">
        <f t="shared" si="9"/>
        <v>0</v>
      </c>
      <c r="Q22" s="35">
        <f t="shared" si="10"/>
        <v>0</v>
      </c>
      <c r="R22" s="35">
        <f t="shared" si="18"/>
        <v>0</v>
      </c>
      <c r="S22" s="35">
        <f t="shared" si="19"/>
        <v>-11731.571047807021</v>
      </c>
      <c r="T22" s="35">
        <f t="shared" si="11"/>
        <v>0</v>
      </c>
      <c r="U22" s="35">
        <f t="shared" si="20"/>
        <v>58955.695007860893</v>
      </c>
      <c r="V22" s="35">
        <f t="shared" si="21"/>
        <v>-70687.266055667918</v>
      </c>
      <c r="W22" s="35">
        <f t="shared" si="12"/>
        <v>2101765.7222693153</v>
      </c>
      <c r="Y22" s="35"/>
    </row>
    <row r="23" spans="1:27" x14ac:dyDescent="0.25">
      <c r="A23" s="35"/>
      <c r="C23" s="34">
        <f t="shared" si="13"/>
        <v>51502</v>
      </c>
      <c r="D23" s="35">
        <f t="shared" si="14"/>
        <v>2759031.540715334</v>
      </c>
      <c r="E23" s="35">
        <f t="shared" si="15"/>
        <v>0</v>
      </c>
      <c r="F23" s="35">
        <f t="shared" si="16"/>
        <v>0</v>
      </c>
      <c r="G23" s="35">
        <f t="shared" si="7"/>
        <v>-657265.81844601897</v>
      </c>
      <c r="H23" s="35">
        <f t="shared" si="0"/>
        <v>193132.20785007341</v>
      </c>
      <c r="I23" s="35">
        <f t="shared" si="1"/>
        <v>0</v>
      </c>
      <c r="J23" s="35">
        <f t="shared" si="2"/>
        <v>0</v>
      </c>
      <c r="K23" s="35">
        <f t="shared" si="8"/>
        <v>0</v>
      </c>
      <c r="L23" s="35">
        <f t="shared" si="3"/>
        <v>-13145.316368920379</v>
      </c>
      <c r="M23" s="36" t="str">
        <f t="shared" si="4"/>
        <v>NEW</v>
      </c>
      <c r="N23" s="35">
        <f t="shared" si="5"/>
        <v>174986.89148115303</v>
      </c>
      <c r="O23" s="35">
        <f t="shared" si="17"/>
        <v>62995.280933215086</v>
      </c>
      <c r="P23" s="35">
        <f t="shared" si="9"/>
        <v>0</v>
      </c>
      <c r="Q23" s="35">
        <f t="shared" si="10"/>
        <v>0</v>
      </c>
      <c r="R23" s="35">
        <f t="shared" si="18"/>
        <v>0</v>
      </c>
      <c r="S23" s="35">
        <f t="shared" si="19"/>
        <v>-13145.316368920379</v>
      </c>
      <c r="T23" s="35">
        <f t="shared" si="11"/>
        <v>0</v>
      </c>
      <c r="U23" s="35">
        <f t="shared" si="20"/>
        <v>62995.280933215086</v>
      </c>
      <c r="V23" s="35">
        <f t="shared" si="21"/>
        <v>-76140.597302135458</v>
      </c>
      <c r="W23" s="35">
        <f t="shared" si="12"/>
        <v>2218757.3328172532</v>
      </c>
      <c r="Y23" s="35"/>
    </row>
    <row r="24" spans="1:27" x14ac:dyDescent="0.25">
      <c r="A24" s="35"/>
      <c r="C24" s="34">
        <f t="shared" si="13"/>
        <v>51867</v>
      </c>
      <c r="D24" s="35">
        <f t="shared" si="14"/>
        <v>2952163.7485654075</v>
      </c>
      <c r="E24" s="35">
        <f t="shared" si="15"/>
        <v>0</v>
      </c>
      <c r="F24" s="35">
        <f t="shared" si="16"/>
        <v>0</v>
      </c>
      <c r="G24" s="35">
        <f t="shared" si="7"/>
        <v>-733406.4157481544</v>
      </c>
      <c r="H24" s="35">
        <f t="shared" si="0"/>
        <v>206651.46239957854</v>
      </c>
      <c r="I24" s="35">
        <f t="shared" si="1"/>
        <v>0</v>
      </c>
      <c r="J24" s="35">
        <f t="shared" si="2"/>
        <v>0</v>
      </c>
      <c r="K24" s="35">
        <f t="shared" si="8"/>
        <v>0</v>
      </c>
      <c r="L24" s="35">
        <f t="shared" si="3"/>
        <v>-14668.128314963089</v>
      </c>
      <c r="M24" s="36" t="str">
        <f t="shared" si="4"/>
        <v>NEW</v>
      </c>
      <c r="N24" s="35">
        <f t="shared" si="5"/>
        <v>186983.33408461546</v>
      </c>
      <c r="O24" s="35">
        <f t="shared" si="17"/>
        <v>67314.000270461562</v>
      </c>
      <c r="P24" s="35">
        <f t="shared" si="9"/>
        <v>0</v>
      </c>
      <c r="Q24" s="35">
        <f t="shared" si="10"/>
        <v>0</v>
      </c>
      <c r="R24" s="35">
        <f t="shared" si="18"/>
        <v>0</v>
      </c>
      <c r="S24" s="35">
        <f t="shared" si="19"/>
        <v>-14668.128314963089</v>
      </c>
      <c r="T24" s="35">
        <f t="shared" si="11"/>
        <v>0</v>
      </c>
      <c r="U24" s="35">
        <f t="shared" si="20"/>
        <v>67314.000270461562</v>
      </c>
      <c r="V24" s="35">
        <f t="shared" si="21"/>
        <v>-81982.128585424653</v>
      </c>
      <c r="W24" s="35">
        <f t="shared" si="12"/>
        <v>2343426.6666314071</v>
      </c>
      <c r="Y24" s="35"/>
    </row>
    <row r="25" spans="1:27" x14ac:dyDescent="0.25">
      <c r="A25" s="35"/>
      <c r="C25" s="34">
        <f t="shared" si="13"/>
        <v>52232</v>
      </c>
      <c r="D25" s="35">
        <f t="shared" si="14"/>
        <v>3158815.2109649861</v>
      </c>
      <c r="E25" s="35">
        <f t="shared" si="15"/>
        <v>0</v>
      </c>
      <c r="F25" s="35">
        <f t="shared" si="16"/>
        <v>0</v>
      </c>
      <c r="G25" s="35">
        <f t="shared" si="7"/>
        <v>-815388.54433357902</v>
      </c>
      <c r="H25" s="35">
        <f t="shared" si="0"/>
        <v>221117.06476754905</v>
      </c>
      <c r="I25" s="35">
        <f t="shared" si="1"/>
        <v>0</v>
      </c>
      <c r="J25" s="35">
        <f t="shared" si="2"/>
        <v>0</v>
      </c>
      <c r="K25" s="35">
        <f t="shared" si="8"/>
        <v>0</v>
      </c>
      <c r="L25" s="35">
        <f t="shared" si="3"/>
        <v>-16307.77088667158</v>
      </c>
      <c r="M25" s="36" t="str">
        <f t="shared" si="4"/>
        <v>NEW</v>
      </c>
      <c r="N25" s="35">
        <f t="shared" si="5"/>
        <v>199809.29388087746</v>
      </c>
      <c r="O25" s="35">
        <f t="shared" si="17"/>
        <v>71931.345797115879</v>
      </c>
      <c r="P25" s="35">
        <f t="shared" si="9"/>
        <v>0</v>
      </c>
      <c r="Q25" s="35">
        <f t="shared" si="10"/>
        <v>0</v>
      </c>
      <c r="R25" s="35">
        <f t="shared" si="18"/>
        <v>0</v>
      </c>
      <c r="S25" s="35">
        <f t="shared" si="19"/>
        <v>-16307.77088667158</v>
      </c>
      <c r="T25" s="35">
        <f t="shared" si="11"/>
        <v>0</v>
      </c>
      <c r="U25" s="35">
        <f t="shared" si="20"/>
        <v>71931.345797115879</v>
      </c>
      <c r="V25" s="35">
        <f t="shared" si="21"/>
        <v>-88239.116683787463</v>
      </c>
      <c r="W25" s="35">
        <f t="shared" si="12"/>
        <v>2476304.6147151683</v>
      </c>
      <c r="Y25" s="35"/>
    </row>
    <row r="26" spans="1:27" x14ac:dyDescent="0.25">
      <c r="A26" s="35"/>
      <c r="C26" s="34">
        <f t="shared" si="13"/>
        <v>52597</v>
      </c>
      <c r="D26" s="35">
        <f t="shared" si="14"/>
        <v>3379932.2757325349</v>
      </c>
      <c r="E26" s="35">
        <f t="shared" si="15"/>
        <v>0</v>
      </c>
      <c r="F26" s="35">
        <f t="shared" si="16"/>
        <v>0</v>
      </c>
      <c r="G26" s="35">
        <f t="shared" si="7"/>
        <v>-903627.66101736645</v>
      </c>
      <c r="H26" s="35">
        <f t="shared" si="0"/>
        <v>236595.25930127746</v>
      </c>
      <c r="I26" s="35">
        <f t="shared" si="1"/>
        <v>0</v>
      </c>
      <c r="J26" s="35">
        <f t="shared" si="2"/>
        <v>0</v>
      </c>
      <c r="K26" s="35">
        <f t="shared" si="8"/>
        <v>0</v>
      </c>
      <c r="L26" s="35">
        <f t="shared" si="3"/>
        <v>-18072.55322034733</v>
      </c>
      <c r="M26" s="36" t="str">
        <f t="shared" si="4"/>
        <v>NEW</v>
      </c>
      <c r="N26" s="35">
        <f t="shared" si="5"/>
        <v>213522.70608093013</v>
      </c>
      <c r="O26" s="35">
        <f t="shared" si="17"/>
        <v>76868.17418913485</v>
      </c>
      <c r="P26" s="35">
        <f t="shared" si="9"/>
        <v>0</v>
      </c>
      <c r="Q26" s="35">
        <f t="shared" si="10"/>
        <v>0</v>
      </c>
      <c r="R26" s="35">
        <f t="shared" si="18"/>
        <v>0</v>
      </c>
      <c r="S26" s="35">
        <f t="shared" si="19"/>
        <v>-18072.55322034733</v>
      </c>
      <c r="T26" s="35">
        <f t="shared" si="11"/>
        <v>0</v>
      </c>
      <c r="U26" s="35">
        <f t="shared" si="20"/>
        <v>76868.17418913485</v>
      </c>
      <c r="V26" s="35">
        <f t="shared" si="21"/>
        <v>-94940.727409482177</v>
      </c>
      <c r="W26" s="35">
        <f t="shared" si="12"/>
        <v>2617959.1466069631</v>
      </c>
      <c r="Y26" s="35"/>
    </row>
    <row r="27" spans="1:27" x14ac:dyDescent="0.25">
      <c r="A27" s="35"/>
      <c r="C27" s="34">
        <f t="shared" si="13"/>
        <v>52963</v>
      </c>
      <c r="D27" s="35">
        <f t="shared" si="14"/>
        <v>3616527.5350338123</v>
      </c>
      <c r="E27" s="35">
        <f t="shared" si="15"/>
        <v>0</v>
      </c>
      <c r="F27" s="35">
        <f t="shared" si="16"/>
        <v>0</v>
      </c>
      <c r="G27" s="35">
        <f t="shared" si="7"/>
        <v>-998568.38842684869</v>
      </c>
      <c r="H27" s="35">
        <f t="shared" si="0"/>
        <v>253156.92745236689</v>
      </c>
      <c r="I27" s="35">
        <f t="shared" si="1"/>
        <v>0</v>
      </c>
      <c r="J27" s="35">
        <f t="shared" si="2"/>
        <v>0</v>
      </c>
      <c r="K27" s="35">
        <f t="shared" si="8"/>
        <v>0</v>
      </c>
      <c r="L27" s="35">
        <f t="shared" si="3"/>
        <v>-19971.367768536973</v>
      </c>
      <c r="M27" s="36" t="str">
        <f t="shared" si="4"/>
        <v>NEW</v>
      </c>
      <c r="N27" s="35">
        <f t="shared" si="5"/>
        <v>228185.55968382992</v>
      </c>
      <c r="O27" s="35">
        <f t="shared" si="17"/>
        <v>82146.801486178767</v>
      </c>
      <c r="P27" s="35">
        <f t="shared" si="9"/>
        <v>0</v>
      </c>
      <c r="Q27" s="35">
        <f t="shared" si="10"/>
        <v>0</v>
      </c>
      <c r="R27" s="35">
        <f t="shared" si="18"/>
        <v>0</v>
      </c>
      <c r="S27" s="35">
        <f t="shared" si="19"/>
        <v>-19971.367768536973</v>
      </c>
      <c r="T27" s="35">
        <f t="shared" si="11"/>
        <v>0</v>
      </c>
      <c r="U27" s="35">
        <f t="shared" si="20"/>
        <v>82146.801486178767</v>
      </c>
      <c r="V27" s="35">
        <f t="shared" si="21"/>
        <v>-102118.16925471574</v>
      </c>
      <c r="W27" s="35">
        <f t="shared" si="12"/>
        <v>2768997.9048046148</v>
      </c>
      <c r="Y27" s="35"/>
    </row>
    <row r="28" spans="1:27" s="55" customFormat="1" x14ac:dyDescent="0.25">
      <c r="A28" s="54"/>
      <c r="C28" s="56">
        <f t="shared" si="13"/>
        <v>53328</v>
      </c>
      <c r="D28" s="54">
        <f t="shared" si="14"/>
        <v>3869684.4624861791</v>
      </c>
      <c r="E28" s="54">
        <f t="shared" si="15"/>
        <v>0</v>
      </c>
      <c r="F28" s="54">
        <f t="shared" si="16"/>
        <v>0</v>
      </c>
      <c r="G28" s="54">
        <f t="shared" si="7"/>
        <v>-1100686.5576815645</v>
      </c>
      <c r="H28" s="54">
        <f t="shared" si="0"/>
        <v>270877.91237403254</v>
      </c>
      <c r="I28" s="54">
        <f t="shared" si="1"/>
        <v>0</v>
      </c>
      <c r="J28" s="54">
        <f t="shared" si="2"/>
        <v>0</v>
      </c>
      <c r="K28" s="54">
        <f t="shared" si="8"/>
        <v>0</v>
      </c>
      <c r="L28" s="54">
        <f t="shared" si="3"/>
        <v>-22013.731153631288</v>
      </c>
      <c r="M28" s="40" t="str">
        <f t="shared" si="4"/>
        <v>NEW</v>
      </c>
      <c r="N28" s="54">
        <f t="shared" si="5"/>
        <v>243864.18122040125</v>
      </c>
      <c r="O28" s="54">
        <f t="shared" si="17"/>
        <v>87791.105239344441</v>
      </c>
      <c r="P28" s="54">
        <f t="shared" si="9"/>
        <v>0</v>
      </c>
      <c r="Q28" s="54">
        <f t="shared" si="10"/>
        <v>0</v>
      </c>
      <c r="R28" s="54">
        <f t="shared" si="18"/>
        <v>0</v>
      </c>
      <c r="S28" s="54">
        <f t="shared" si="19"/>
        <v>-22013.731153631288</v>
      </c>
      <c r="T28" s="54">
        <f t="shared" si="11"/>
        <v>0</v>
      </c>
      <c r="U28" s="54">
        <f t="shared" si="20"/>
        <v>87791.105239344441</v>
      </c>
      <c r="V28" s="54">
        <f t="shared" si="21"/>
        <v>-109804.83639297573</v>
      </c>
      <c r="W28" s="54">
        <f>D28+E28+F28+G28+H28+I28+J28+K28+L28-O28-T28</f>
        <v>2930070.9807856716</v>
      </c>
      <c r="Y28" s="54"/>
    </row>
    <row r="29" spans="1:27" x14ac:dyDescent="0.25">
      <c r="C29" s="34">
        <f t="shared" si="13"/>
        <v>53693</v>
      </c>
      <c r="D29" s="35">
        <f t="shared" si="14"/>
        <v>4140562.3748602117</v>
      </c>
      <c r="E29" s="35">
        <f t="shared" si="15"/>
        <v>0</v>
      </c>
      <c r="F29" s="35">
        <f t="shared" si="16"/>
        <v>0</v>
      </c>
      <c r="G29" s="35">
        <f t="shared" si="7"/>
        <v>-1210491.3940745401</v>
      </c>
      <c r="H29" s="35">
        <f t="shared" si="0"/>
        <v>289839.36624021485</v>
      </c>
      <c r="I29" s="35">
        <f t="shared" si="1"/>
        <v>0</v>
      </c>
      <c r="J29" s="35">
        <f t="shared" si="2"/>
        <v>0</v>
      </c>
      <c r="K29" s="35">
        <f t="shared" si="8"/>
        <v>0</v>
      </c>
      <c r="L29" s="35">
        <f t="shared" si="3"/>
        <v>-24209.827881490804</v>
      </c>
      <c r="M29" s="36" t="str">
        <f t="shared" si="4"/>
        <v>NEW</v>
      </c>
      <c r="N29" s="35">
        <f t="shared" si="5"/>
        <v>260629.53835872404</v>
      </c>
      <c r="O29" s="35">
        <f t="shared" si="17"/>
        <v>93826.633809140651</v>
      </c>
      <c r="P29" s="35">
        <f t="shared" si="9"/>
        <v>0</v>
      </c>
      <c r="Q29" s="35">
        <f t="shared" si="10"/>
        <v>0</v>
      </c>
      <c r="R29" s="35">
        <f t="shared" si="18"/>
        <v>0</v>
      </c>
      <c r="S29" s="35">
        <f t="shared" si="19"/>
        <v>-24209.827881490804</v>
      </c>
      <c r="T29" s="35">
        <f t="shared" si="11"/>
        <v>0</v>
      </c>
      <c r="U29" s="35">
        <f t="shared" si="20"/>
        <v>93826.633809140651</v>
      </c>
      <c r="V29" s="35">
        <f t="shared" si="21"/>
        <v>-118036.46169063146</v>
      </c>
      <c r="W29" s="35">
        <f t="shared" si="12"/>
        <v>3101873.8853352554</v>
      </c>
      <c r="Y29" s="35"/>
      <c r="AA29" s="35"/>
    </row>
    <row r="30" spans="1:27" x14ac:dyDescent="0.25">
      <c r="C30" s="34">
        <f t="shared" si="13"/>
        <v>54058</v>
      </c>
      <c r="D30" s="35">
        <f t="shared" si="14"/>
        <v>4430401.7411004268</v>
      </c>
      <c r="E30" s="35">
        <f t="shared" si="15"/>
        <v>0</v>
      </c>
      <c r="F30" s="35">
        <f t="shared" si="16"/>
        <v>0</v>
      </c>
      <c r="G30" s="35">
        <f t="shared" si="7"/>
        <v>-1328527.8557651716</v>
      </c>
      <c r="H30" s="35">
        <f t="shared" si="0"/>
        <v>310128.12187702989</v>
      </c>
      <c r="I30" s="35">
        <f t="shared" si="1"/>
        <v>0</v>
      </c>
      <c r="J30" s="35">
        <f t="shared" si="2"/>
        <v>0</v>
      </c>
      <c r="K30" s="35">
        <f t="shared" si="8"/>
        <v>0</v>
      </c>
      <c r="L30" s="35">
        <f t="shared" si="3"/>
        <v>-26570.557115303433</v>
      </c>
      <c r="M30" s="36" t="str">
        <f t="shared" si="4"/>
        <v>NEW</v>
      </c>
      <c r="N30" s="35">
        <f t="shared" si="5"/>
        <v>278557.56476172648</v>
      </c>
      <c r="O30" s="35">
        <f t="shared" si="17"/>
        <v>100280.72331422153</v>
      </c>
      <c r="P30" s="35">
        <f t="shared" si="9"/>
        <v>0</v>
      </c>
      <c r="Q30" s="35">
        <f t="shared" si="10"/>
        <v>0</v>
      </c>
      <c r="R30" s="35">
        <f t="shared" si="18"/>
        <v>0</v>
      </c>
      <c r="S30" s="35">
        <f t="shared" si="19"/>
        <v>-26570.557115303433</v>
      </c>
      <c r="T30" s="35">
        <f t="shared" si="11"/>
        <v>0</v>
      </c>
      <c r="U30" s="35">
        <f t="shared" si="20"/>
        <v>100280.72331422153</v>
      </c>
      <c r="V30" s="35">
        <f t="shared" si="21"/>
        <v>-126851.28042952495</v>
      </c>
      <c r="W30" s="35">
        <f t="shared" si="12"/>
        <v>3285150.7267827606</v>
      </c>
    </row>
    <row r="31" spans="1:27" x14ac:dyDescent="0.25">
      <c r="C31" s="34">
        <f t="shared" si="13"/>
        <v>54424</v>
      </c>
      <c r="D31" s="35">
        <f t="shared" si="14"/>
        <v>4740529.8629774563</v>
      </c>
      <c r="E31" s="35">
        <f t="shared" si="15"/>
        <v>0</v>
      </c>
      <c r="F31" s="35">
        <f t="shared" si="16"/>
        <v>0</v>
      </c>
      <c r="G31" s="35">
        <f t="shared" si="7"/>
        <v>-1455379.1361946966</v>
      </c>
      <c r="H31" s="35">
        <f t="shared" si="0"/>
        <v>331837.09040842199</v>
      </c>
      <c r="I31" s="35">
        <f t="shared" si="1"/>
        <v>0</v>
      </c>
      <c r="J31" s="35">
        <f t="shared" si="2"/>
        <v>0</v>
      </c>
      <c r="K31" s="35">
        <f t="shared" si="8"/>
        <v>0</v>
      </c>
      <c r="L31" s="35">
        <f t="shared" si="3"/>
        <v>-29107.582723893935</v>
      </c>
      <c r="M31" s="36" t="str">
        <f t="shared" si="4"/>
        <v>NEW</v>
      </c>
      <c r="N31" s="35">
        <f t="shared" si="5"/>
        <v>297729.50768452807</v>
      </c>
      <c r="O31" s="35">
        <f t="shared" si="17"/>
        <v>107182.6227664301</v>
      </c>
      <c r="P31" s="35">
        <f t="shared" si="9"/>
        <v>0</v>
      </c>
      <c r="Q31" s="35">
        <f t="shared" si="10"/>
        <v>0</v>
      </c>
      <c r="R31" s="35">
        <f t="shared" si="18"/>
        <v>0</v>
      </c>
      <c r="S31" s="35">
        <f t="shared" si="19"/>
        <v>-29107.582723893935</v>
      </c>
      <c r="T31" s="35">
        <f t="shared" si="11"/>
        <v>0</v>
      </c>
      <c r="U31" s="35">
        <f t="shared" si="20"/>
        <v>107182.6227664301</v>
      </c>
      <c r="V31" s="35">
        <f t="shared" si="21"/>
        <v>-136290.20549032404</v>
      </c>
      <c r="W31" s="35">
        <f t="shared" si="12"/>
        <v>3480697.6117008575</v>
      </c>
    </row>
    <row r="32" spans="1:27" x14ac:dyDescent="0.25">
      <c r="C32" s="34">
        <f t="shared" si="13"/>
        <v>54789</v>
      </c>
      <c r="D32" s="35">
        <f t="shared" si="14"/>
        <v>5072366.9533858784</v>
      </c>
      <c r="E32" s="35">
        <f t="shared" si="15"/>
        <v>0</v>
      </c>
      <c r="F32" s="35">
        <f t="shared" si="16"/>
        <v>0</v>
      </c>
      <c r="G32" s="35">
        <f t="shared" si="7"/>
        <v>-1591669.3416850206</v>
      </c>
      <c r="H32" s="35">
        <f t="shared" si="0"/>
        <v>355065.68673701154</v>
      </c>
      <c r="I32" s="35">
        <f t="shared" si="1"/>
        <v>0</v>
      </c>
      <c r="J32" s="35">
        <f t="shared" si="2"/>
        <v>0</v>
      </c>
      <c r="K32" s="35">
        <f t="shared" si="8"/>
        <v>0</v>
      </c>
      <c r="L32" s="35">
        <f t="shared" si="3"/>
        <v>-31833.386833700413</v>
      </c>
      <c r="M32" s="36" t="str">
        <f t="shared" si="4"/>
        <v>NEW</v>
      </c>
      <c r="N32" s="35">
        <f t="shared" si="5"/>
        <v>318232.29990331113</v>
      </c>
      <c r="O32" s="35">
        <f t="shared" si="17"/>
        <v>114563.627965192</v>
      </c>
      <c r="P32" s="35">
        <f t="shared" si="9"/>
        <v>0</v>
      </c>
      <c r="Q32" s="35">
        <f t="shared" si="10"/>
        <v>0</v>
      </c>
      <c r="R32" s="35">
        <f t="shared" si="18"/>
        <v>0</v>
      </c>
      <c r="S32" s="35">
        <f t="shared" si="19"/>
        <v>-31833.386833700413</v>
      </c>
      <c r="T32" s="35">
        <f t="shared" si="11"/>
        <v>0</v>
      </c>
      <c r="U32" s="35">
        <f t="shared" si="20"/>
        <v>114563.627965192</v>
      </c>
      <c r="V32" s="35">
        <f t="shared" si="21"/>
        <v>-146397.01479889243</v>
      </c>
      <c r="W32" s="35">
        <f t="shared" si="12"/>
        <v>3689366.2836389774</v>
      </c>
    </row>
    <row r="33" spans="3:23" x14ac:dyDescent="0.25">
      <c r="C33" s="34">
        <f t="shared" si="13"/>
        <v>55154</v>
      </c>
      <c r="D33" s="35">
        <f t="shared" si="14"/>
        <v>5427432.6401228895</v>
      </c>
      <c r="E33" s="35">
        <f t="shared" si="15"/>
        <v>0</v>
      </c>
      <c r="F33" s="35">
        <f t="shared" si="16"/>
        <v>0</v>
      </c>
      <c r="G33" s="35">
        <f t="shared" si="7"/>
        <v>-1738066.356483913</v>
      </c>
      <c r="H33" s="35">
        <f t="shared" si="0"/>
        <v>379920.2848086023</v>
      </c>
      <c r="I33" s="35">
        <f t="shared" si="1"/>
        <v>0</v>
      </c>
      <c r="J33" s="35">
        <f t="shared" si="2"/>
        <v>0</v>
      </c>
      <c r="K33" s="35">
        <f t="shared" si="8"/>
        <v>0</v>
      </c>
      <c r="L33" s="35">
        <f t="shared" si="3"/>
        <v>-34761.327129678262</v>
      </c>
      <c r="M33" s="36" t="str">
        <f t="shared" si="4"/>
        <v>NEW</v>
      </c>
      <c r="N33" s="35">
        <f t="shared" si="5"/>
        <v>340158.95767892402</v>
      </c>
      <c r="O33" s="35">
        <f t="shared" si="17"/>
        <v>122457.22476441265</v>
      </c>
      <c r="P33" s="35">
        <f t="shared" si="9"/>
        <v>0</v>
      </c>
      <c r="Q33" s="35">
        <f t="shared" si="10"/>
        <v>0</v>
      </c>
      <c r="R33" s="35">
        <f t="shared" si="18"/>
        <v>0</v>
      </c>
      <c r="S33" s="35">
        <f t="shared" si="19"/>
        <v>-34761.327129678262</v>
      </c>
      <c r="T33" s="35">
        <f t="shared" si="11"/>
        <v>0</v>
      </c>
      <c r="U33" s="35">
        <f t="shared" si="20"/>
        <v>122457.22476441265</v>
      </c>
      <c r="V33" s="35">
        <f t="shared" si="21"/>
        <v>-157218.5518940909</v>
      </c>
      <c r="W33" s="35">
        <f t="shared" si="12"/>
        <v>3912068.0165534876</v>
      </c>
    </row>
    <row r="34" spans="3:23" x14ac:dyDescent="0.25">
      <c r="C34" s="34">
        <f t="shared" si="13"/>
        <v>55519</v>
      </c>
      <c r="D34" s="35">
        <f t="shared" si="14"/>
        <v>5807352.9249314917</v>
      </c>
      <c r="E34" s="35">
        <f t="shared" si="15"/>
        <v>0</v>
      </c>
      <c r="F34" s="35">
        <f t="shared" si="16"/>
        <v>0</v>
      </c>
      <c r="G34" s="35">
        <f t="shared" si="7"/>
        <v>-1895284.9083780039</v>
      </c>
      <c r="H34" s="35">
        <f t="shared" si="0"/>
        <v>406514.70474520448</v>
      </c>
      <c r="I34" s="35">
        <f t="shared" si="1"/>
        <v>0</v>
      </c>
      <c r="J34" s="35">
        <f t="shared" si="2"/>
        <v>0</v>
      </c>
      <c r="K34" s="35">
        <f t="shared" si="8"/>
        <v>0</v>
      </c>
      <c r="L34" s="35">
        <f t="shared" si="3"/>
        <v>-37905.698167560076</v>
      </c>
      <c r="M34" s="36" t="str">
        <f t="shared" si="4"/>
        <v>NEW</v>
      </c>
      <c r="N34" s="35">
        <f t="shared" si="5"/>
        <v>363609.00657764438</v>
      </c>
      <c r="O34" s="35">
        <f t="shared" si="17"/>
        <v>130899.24236795197</v>
      </c>
      <c r="P34" s="35">
        <f t="shared" si="9"/>
        <v>0</v>
      </c>
      <c r="Q34" s="35">
        <f t="shared" si="10"/>
        <v>0</v>
      </c>
      <c r="R34" s="35">
        <f t="shared" si="18"/>
        <v>0</v>
      </c>
      <c r="S34" s="35">
        <f t="shared" si="19"/>
        <v>-37905.698167560076</v>
      </c>
      <c r="T34" s="35">
        <f t="shared" si="11"/>
        <v>0</v>
      </c>
      <c r="U34" s="35">
        <f t="shared" si="20"/>
        <v>130899.24236795197</v>
      </c>
      <c r="V34" s="35">
        <f t="shared" si="21"/>
        <v>-168804.94053551205</v>
      </c>
      <c r="W34" s="35">
        <f t="shared" si="12"/>
        <v>4149777.78076318</v>
      </c>
    </row>
    <row r="35" spans="3:23" x14ac:dyDescent="0.25">
      <c r="C35" s="34">
        <f t="shared" si="13"/>
        <v>55885</v>
      </c>
      <c r="D35" s="35">
        <f t="shared" si="14"/>
        <v>6213867.6296766959</v>
      </c>
      <c r="E35" s="35">
        <f t="shared" si="15"/>
        <v>0</v>
      </c>
      <c r="F35" s="35">
        <f t="shared" si="16"/>
        <v>0</v>
      </c>
      <c r="G35" s="35">
        <f t="shared" si="7"/>
        <v>-2064089.8489135159</v>
      </c>
      <c r="H35" s="35">
        <f t="shared" si="0"/>
        <v>434970.73407736875</v>
      </c>
      <c r="I35" s="35">
        <f t="shared" si="1"/>
        <v>0</v>
      </c>
      <c r="J35" s="35">
        <f t="shared" si="2"/>
        <v>0</v>
      </c>
      <c r="K35" s="35">
        <f t="shared" si="8"/>
        <v>0</v>
      </c>
      <c r="L35" s="35">
        <f t="shared" si="3"/>
        <v>-41281.796978270322</v>
      </c>
      <c r="M35" s="36" t="str">
        <f t="shared" si="4"/>
        <v>NEW</v>
      </c>
      <c r="N35" s="35">
        <f t="shared" si="5"/>
        <v>388688.9370990984</v>
      </c>
      <c r="O35" s="35">
        <f t="shared" si="17"/>
        <v>139928.01735567543</v>
      </c>
      <c r="P35" s="35">
        <f t="shared" si="9"/>
        <v>0</v>
      </c>
      <c r="Q35" s="35">
        <f t="shared" si="10"/>
        <v>0</v>
      </c>
      <c r="R35" s="35">
        <f t="shared" si="18"/>
        <v>0</v>
      </c>
      <c r="S35" s="35">
        <f t="shared" si="19"/>
        <v>-41281.796978270322</v>
      </c>
      <c r="T35" s="35">
        <f t="shared" si="11"/>
        <v>0</v>
      </c>
      <c r="U35" s="35">
        <f t="shared" si="20"/>
        <v>139928.01735567543</v>
      </c>
      <c r="V35" s="35">
        <f t="shared" si="21"/>
        <v>-181209.81433394575</v>
      </c>
      <c r="W35" s="35">
        <f t="shared" si="12"/>
        <v>4403538.7005066024</v>
      </c>
    </row>
    <row r="36" spans="3:23" x14ac:dyDescent="0.25">
      <c r="C36" s="34">
        <f t="shared" si="13"/>
        <v>56250</v>
      </c>
      <c r="D36" s="35">
        <f t="shared" si="14"/>
        <v>6648838.3637540648</v>
      </c>
      <c r="E36" s="35">
        <f t="shared" si="15"/>
        <v>0</v>
      </c>
      <c r="F36" s="35">
        <f t="shared" si="16"/>
        <v>0</v>
      </c>
      <c r="G36" s="35">
        <f t="shared" si="7"/>
        <v>-2245299.6632474614</v>
      </c>
      <c r="H36" s="35">
        <f t="shared" si="0"/>
        <v>465418.6854627846</v>
      </c>
      <c r="I36" s="35">
        <f t="shared" si="1"/>
        <v>0</v>
      </c>
      <c r="J36" s="35">
        <f t="shared" si="2"/>
        <v>0</v>
      </c>
      <c r="K36" s="35">
        <f t="shared" si="8"/>
        <v>0</v>
      </c>
      <c r="L36" s="35">
        <f t="shared" si="3"/>
        <v>-44905.993264949233</v>
      </c>
      <c r="M36" s="36" t="str">
        <f t="shared" si="4"/>
        <v>NEW</v>
      </c>
      <c r="N36" s="35">
        <f t="shared" si="5"/>
        <v>415512.69219783536</v>
      </c>
      <c r="O36" s="35">
        <f t="shared" si="17"/>
        <v>149584.56919122071</v>
      </c>
      <c r="P36" s="35">
        <f t="shared" si="9"/>
        <v>0</v>
      </c>
      <c r="Q36" s="35">
        <f t="shared" si="10"/>
        <v>0</v>
      </c>
      <c r="R36" s="35">
        <f t="shared" si="18"/>
        <v>0</v>
      </c>
      <c r="S36" s="35">
        <f t="shared" si="19"/>
        <v>-44905.993264949233</v>
      </c>
      <c r="T36" s="35">
        <f t="shared" si="11"/>
        <v>0</v>
      </c>
      <c r="U36" s="35">
        <f t="shared" si="20"/>
        <v>149584.56919122071</v>
      </c>
      <c r="V36" s="35">
        <f t="shared" si="21"/>
        <v>-194490.56245616995</v>
      </c>
      <c r="W36" s="35">
        <f t="shared" si="12"/>
        <v>4674466.8235132182</v>
      </c>
    </row>
    <row r="37" spans="3:23" x14ac:dyDescent="0.25">
      <c r="C37" s="34">
        <f t="shared" si="13"/>
        <v>56615</v>
      </c>
      <c r="D37" s="35">
        <f t="shared" si="14"/>
        <v>7114257.0492168497</v>
      </c>
      <c r="E37" s="35">
        <f t="shared" si="15"/>
        <v>0</v>
      </c>
      <c r="F37" s="35">
        <f t="shared" si="16"/>
        <v>0</v>
      </c>
      <c r="G37" s="35">
        <f t="shared" si="7"/>
        <v>-2439790.2257036315</v>
      </c>
      <c r="H37" s="35">
        <f t="shared" si="0"/>
        <v>497997.99344517954</v>
      </c>
      <c r="I37" s="35">
        <f t="shared" si="1"/>
        <v>0</v>
      </c>
      <c r="J37" s="35">
        <f t="shared" si="2"/>
        <v>0</v>
      </c>
      <c r="K37" s="35">
        <f t="shared" si="8"/>
        <v>0</v>
      </c>
      <c r="L37" s="35">
        <f t="shared" si="3"/>
        <v>-48795.804514072632</v>
      </c>
      <c r="M37" s="36" t="str">
        <f t="shared" si="4"/>
        <v>NEW</v>
      </c>
      <c r="N37" s="35">
        <f t="shared" si="5"/>
        <v>444202.18893110694</v>
      </c>
      <c r="O37" s="35">
        <f t="shared" si="17"/>
        <v>159912.78801519849</v>
      </c>
      <c r="P37" s="35">
        <f t="shared" si="9"/>
        <v>0</v>
      </c>
      <c r="Q37" s="35">
        <f t="shared" si="10"/>
        <v>0</v>
      </c>
      <c r="R37" s="35">
        <f t="shared" si="18"/>
        <v>0</v>
      </c>
      <c r="S37" s="35">
        <f t="shared" si="19"/>
        <v>-48795.804514072632</v>
      </c>
      <c r="T37" s="35">
        <f t="shared" si="11"/>
        <v>0</v>
      </c>
      <c r="U37" s="35">
        <f t="shared" si="20"/>
        <v>159912.78801519849</v>
      </c>
      <c r="V37" s="35">
        <f t="shared" si="21"/>
        <v>-208708.59252927112</v>
      </c>
      <c r="W37" s="35">
        <f t="shared" si="12"/>
        <v>4963756.2244291259</v>
      </c>
    </row>
    <row r="38" spans="3:23" x14ac:dyDescent="0.25">
      <c r="C38" s="34">
        <f t="shared" si="13"/>
        <v>56980</v>
      </c>
      <c r="D38" s="35">
        <f t="shared" si="14"/>
        <v>7612255.0426620292</v>
      </c>
      <c r="E38" s="35">
        <f t="shared" si="15"/>
        <v>0</v>
      </c>
      <c r="F38" s="35">
        <f t="shared" si="16"/>
        <v>0</v>
      </c>
      <c r="G38" s="35">
        <f t="shared" si="7"/>
        <v>-2648498.8182329028</v>
      </c>
      <c r="H38" s="35">
        <f t="shared" si="0"/>
        <v>532857.85298634204</v>
      </c>
      <c r="I38" s="35">
        <f t="shared" si="1"/>
        <v>0</v>
      </c>
      <c r="J38" s="35">
        <f t="shared" si="2"/>
        <v>0</v>
      </c>
      <c r="K38" s="35">
        <f t="shared" si="8"/>
        <v>0</v>
      </c>
      <c r="L38" s="35">
        <f t="shared" si="3"/>
        <v>-52969.976364658054</v>
      </c>
      <c r="M38" s="36" t="str">
        <f t="shared" si="4"/>
        <v>NEW</v>
      </c>
      <c r="N38" s="35">
        <f t="shared" si="5"/>
        <v>474887.876621684</v>
      </c>
      <c r="O38" s="35">
        <f t="shared" si="17"/>
        <v>170959.63558380623</v>
      </c>
      <c r="P38" s="35">
        <f t="shared" si="9"/>
        <v>0</v>
      </c>
      <c r="Q38" s="35">
        <f t="shared" si="10"/>
        <v>0</v>
      </c>
      <c r="R38" s="35">
        <f t="shared" si="18"/>
        <v>0</v>
      </c>
      <c r="S38" s="35">
        <f t="shared" si="19"/>
        <v>-52969.976364658054</v>
      </c>
      <c r="T38" s="35">
        <f t="shared" si="11"/>
        <v>0</v>
      </c>
      <c r="U38" s="35">
        <f t="shared" si="20"/>
        <v>170959.63558380623</v>
      </c>
      <c r="V38" s="35">
        <f t="shared" si="21"/>
        <v>-223929.6119484643</v>
      </c>
      <c r="W38" s="35">
        <f t="shared" si="12"/>
        <v>5272684.465467005</v>
      </c>
    </row>
    <row r="39" spans="3:23" x14ac:dyDescent="0.25">
      <c r="C39" s="34">
        <f t="shared" si="13"/>
        <v>57346</v>
      </c>
      <c r="D39" s="35">
        <f t="shared" si="14"/>
        <v>8145112.8956483714</v>
      </c>
      <c r="E39" s="35">
        <f t="shared" si="15"/>
        <v>0</v>
      </c>
      <c r="F39" s="35">
        <f t="shared" si="16"/>
        <v>0</v>
      </c>
      <c r="G39" s="35">
        <f t="shared" si="7"/>
        <v>-2872428.4301813673</v>
      </c>
      <c r="H39" s="35">
        <f t="shared" si="0"/>
        <v>570157.90269538609</v>
      </c>
      <c r="I39" s="35">
        <f t="shared" si="1"/>
        <v>0</v>
      </c>
      <c r="J39" s="35">
        <f t="shared" si="2"/>
        <v>0</v>
      </c>
      <c r="K39" s="35">
        <f t="shared" si="8"/>
        <v>0</v>
      </c>
      <c r="L39" s="35">
        <f t="shared" si="3"/>
        <v>-57448.568603627347</v>
      </c>
      <c r="M39" s="36" t="str">
        <f t="shared" si="4"/>
        <v>NEW</v>
      </c>
      <c r="N39" s="35">
        <f t="shared" si="5"/>
        <v>507709.33409175876</v>
      </c>
      <c r="O39" s="35">
        <f t="shared" si="17"/>
        <v>182775.36027303315</v>
      </c>
      <c r="P39" s="35">
        <f t="shared" si="9"/>
        <v>0</v>
      </c>
      <c r="Q39" s="35">
        <f t="shared" si="10"/>
        <v>0</v>
      </c>
      <c r="R39" s="35">
        <f t="shared" si="18"/>
        <v>0</v>
      </c>
      <c r="S39" s="35">
        <f t="shared" si="19"/>
        <v>-57448.568603627347</v>
      </c>
      <c r="T39" s="35">
        <f t="shared" si="11"/>
        <v>0</v>
      </c>
      <c r="U39" s="35">
        <f t="shared" si="20"/>
        <v>182775.36027303315</v>
      </c>
      <c r="V39" s="35">
        <f t="shared" si="21"/>
        <v>-240223.9288766605</v>
      </c>
      <c r="W39" s="35">
        <f t="shared" si="12"/>
        <v>5602618.4392857291</v>
      </c>
    </row>
    <row r="40" spans="3:23" x14ac:dyDescent="0.25">
      <c r="C40" s="34" t="str">
        <f t="shared" si="13"/>
        <v/>
      </c>
      <c r="D40" s="35">
        <f t="shared" si="14"/>
        <v>8715270.7983437572</v>
      </c>
      <c r="E40" s="35">
        <f t="shared" si="15"/>
        <v>0</v>
      </c>
      <c r="F40" s="35">
        <f t="shared" si="16"/>
        <v>0</v>
      </c>
      <c r="G40" s="35">
        <f t="shared" si="7"/>
        <v>-3112652.3590580276</v>
      </c>
      <c r="H40" s="35">
        <f t="shared" ref="H40:H71" si="22">growth_rate*D40</f>
        <v>610068.95588406303</v>
      </c>
      <c r="I40" s="35">
        <f t="shared" ref="I40:I71" si="23">dividend*D40</f>
        <v>0</v>
      </c>
      <c r="J40" s="35">
        <f t="shared" ref="J40:J71" si="24">coupon/bonds_par*E40</f>
        <v>0</v>
      </c>
      <c r="K40" s="35">
        <f t="shared" si="8"/>
        <v>0</v>
      </c>
      <c r="L40" s="35">
        <f t="shared" ref="L40:L71" si="25">cash_yield*G40</f>
        <v>-62253.047181160553</v>
      </c>
      <c r="M40" s="36" t="e">
        <f t="shared" ref="M40:M71" si="26">IF(YEAR(C40) &lt; regime_change, "OLD", "NEW")</f>
        <v>#VALUE!</v>
      </c>
      <c r="N40" s="35" t="e">
        <f t="shared" ref="N40:N71" si="27">IF(M40="OLD", (D40+E40+F40-b3_current_franchise)*b3_fiction+G40*b3_cash_fiction, (SUM(H40:L40)-b3_future_franchise))</f>
        <v>#VALUE!</v>
      </c>
      <c r="O40" s="35" t="e">
        <f t="shared" si="17"/>
        <v>#VALUE!</v>
      </c>
      <c r="P40" s="35">
        <f t="shared" si="9"/>
        <v>0</v>
      </c>
      <c r="Q40" s="35">
        <f t="shared" si="10"/>
        <v>0</v>
      </c>
      <c r="R40" s="35">
        <f t="shared" si="18"/>
        <v>0</v>
      </c>
      <c r="S40" s="35">
        <f t="shared" si="19"/>
        <v>-62253.047181160553</v>
      </c>
      <c r="T40" s="35" t="e">
        <f t="shared" ref="T40:T71" si="28">IF(YEAR(C40)&lt; YEAR(draw_down_date), 0, IF(YEAR(C40) = YEAR(draw_down_date), draw_down, T39*(1+inflation)))</f>
        <v>#VALUE!</v>
      </c>
      <c r="U40" s="35" t="e">
        <f t="shared" si="20"/>
        <v>#VALUE!</v>
      </c>
      <c r="V40" s="35" t="e">
        <f t="shared" si="21"/>
        <v>#VALUE!</v>
      </c>
      <c r="W40" s="35" t="e">
        <f t="shared" si="12"/>
        <v>#VALUE!</v>
      </c>
    </row>
    <row r="41" spans="3:23" x14ac:dyDescent="0.25">
      <c r="C41" s="34" t="str">
        <f t="shared" si="13"/>
        <v/>
      </c>
      <c r="D41" s="35" t="e">
        <f t="shared" ref="D41:D72" si="29">D40+H40+IF(V40&gt;0, V40*reinvestment_mix, 0)</f>
        <v>#VALUE!</v>
      </c>
      <c r="E41" s="35">
        <f t="shared" si="15"/>
        <v>0</v>
      </c>
      <c r="F41" s="35">
        <f t="shared" si="16"/>
        <v>0</v>
      </c>
      <c r="G41" s="35" t="e">
        <f t="shared" ref="G41:G72" si="30">IF(V40&lt;0, G40+V40, G40+V40*(1-reinvestment_mix))</f>
        <v>#VALUE!</v>
      </c>
      <c r="H41" s="35" t="e">
        <f t="shared" si="22"/>
        <v>#VALUE!</v>
      </c>
      <c r="I41" s="35" t="e">
        <f t="shared" si="23"/>
        <v>#VALUE!</v>
      </c>
      <c r="J41" s="35">
        <f t="shared" si="24"/>
        <v>0</v>
      </c>
      <c r="K41" s="35">
        <f t="shared" ref="K41:K72" si="31">K40*(1+inflation)</f>
        <v>0</v>
      </c>
      <c r="L41" s="35" t="e">
        <f t="shared" si="25"/>
        <v>#VALUE!</v>
      </c>
      <c r="M41" s="36" t="e">
        <f t="shared" si="26"/>
        <v>#VALUE!</v>
      </c>
      <c r="N41" s="35" t="e">
        <f t="shared" si="27"/>
        <v>#VALUE!</v>
      </c>
      <c r="O41" s="35" t="e">
        <f t="shared" si="17"/>
        <v>#VALUE!</v>
      </c>
      <c r="P41" s="35" t="e">
        <f t="shared" si="9"/>
        <v>#VALUE!</v>
      </c>
      <c r="Q41" s="35">
        <f t="shared" si="10"/>
        <v>0</v>
      </c>
      <c r="R41" s="35">
        <f t="shared" si="18"/>
        <v>0</v>
      </c>
      <c r="S41" s="35" t="e">
        <f t="shared" si="19"/>
        <v>#VALUE!</v>
      </c>
      <c r="T41" s="35" t="e">
        <f t="shared" si="28"/>
        <v>#VALUE!</v>
      </c>
      <c r="U41" s="35" t="e">
        <f t="shared" si="20"/>
        <v>#VALUE!</v>
      </c>
      <c r="V41" s="35" t="e">
        <f t="shared" si="21"/>
        <v>#VALUE!</v>
      </c>
      <c r="W41" s="35" t="e">
        <f t="shared" si="12"/>
        <v>#VALUE!</v>
      </c>
    </row>
    <row r="42" spans="3:23" x14ac:dyDescent="0.25">
      <c r="C42" s="34" t="str">
        <f t="shared" si="13"/>
        <v/>
      </c>
      <c r="D42" s="35" t="e">
        <f t="shared" si="29"/>
        <v>#VALUE!</v>
      </c>
      <c r="E42" s="35">
        <f t="shared" si="15"/>
        <v>0</v>
      </c>
      <c r="F42" s="35">
        <f t="shared" si="16"/>
        <v>0</v>
      </c>
      <c r="G42" s="35" t="e">
        <f t="shared" si="30"/>
        <v>#VALUE!</v>
      </c>
      <c r="H42" s="35" t="e">
        <f t="shared" si="22"/>
        <v>#VALUE!</v>
      </c>
      <c r="I42" s="35" t="e">
        <f t="shared" si="23"/>
        <v>#VALUE!</v>
      </c>
      <c r="J42" s="35">
        <f t="shared" si="24"/>
        <v>0</v>
      </c>
      <c r="K42" s="35">
        <f t="shared" si="31"/>
        <v>0</v>
      </c>
      <c r="L42" s="35" t="e">
        <f t="shared" si="25"/>
        <v>#VALUE!</v>
      </c>
      <c r="M42" s="36" t="e">
        <f t="shared" si="26"/>
        <v>#VALUE!</v>
      </c>
      <c r="N42" s="35" t="e">
        <f t="shared" si="27"/>
        <v>#VALUE!</v>
      </c>
      <c r="O42" s="35" t="e">
        <f t="shared" si="17"/>
        <v>#VALUE!</v>
      </c>
      <c r="P42" s="35" t="e">
        <f t="shared" si="9"/>
        <v>#VALUE!</v>
      </c>
      <c r="Q42" s="35">
        <f t="shared" si="10"/>
        <v>0</v>
      </c>
      <c r="R42" s="35">
        <f t="shared" si="18"/>
        <v>0</v>
      </c>
      <c r="S42" s="35" t="e">
        <f t="shared" si="19"/>
        <v>#VALUE!</v>
      </c>
      <c r="T42" s="35" t="e">
        <f t="shared" si="28"/>
        <v>#VALUE!</v>
      </c>
      <c r="U42" s="35" t="e">
        <f t="shared" si="20"/>
        <v>#VALUE!</v>
      </c>
      <c r="V42" s="35" t="e">
        <f t="shared" si="21"/>
        <v>#VALUE!</v>
      </c>
      <c r="W42" s="35" t="e">
        <f t="shared" si="12"/>
        <v>#VALUE!</v>
      </c>
    </row>
    <row r="43" spans="3:23" x14ac:dyDescent="0.25">
      <c r="C43" s="34" t="str">
        <f t="shared" si="13"/>
        <v/>
      </c>
      <c r="D43" s="35" t="e">
        <f t="shared" si="29"/>
        <v>#VALUE!</v>
      </c>
      <c r="E43" s="35">
        <f t="shared" si="15"/>
        <v>0</v>
      </c>
      <c r="F43" s="35">
        <f t="shared" si="16"/>
        <v>0</v>
      </c>
      <c r="G43" s="35" t="e">
        <f t="shared" si="30"/>
        <v>#VALUE!</v>
      </c>
      <c r="H43" s="35" t="e">
        <f t="shared" si="22"/>
        <v>#VALUE!</v>
      </c>
      <c r="I43" s="35" t="e">
        <f t="shared" si="23"/>
        <v>#VALUE!</v>
      </c>
      <c r="J43" s="35">
        <f t="shared" si="24"/>
        <v>0</v>
      </c>
      <c r="K43" s="35">
        <f t="shared" si="31"/>
        <v>0</v>
      </c>
      <c r="L43" s="35" t="e">
        <f t="shared" si="25"/>
        <v>#VALUE!</v>
      </c>
      <c r="M43" s="36" t="e">
        <f t="shared" si="26"/>
        <v>#VALUE!</v>
      </c>
      <c r="N43" s="35" t="e">
        <f t="shared" si="27"/>
        <v>#VALUE!</v>
      </c>
      <c r="O43" s="35" t="e">
        <f t="shared" si="17"/>
        <v>#VALUE!</v>
      </c>
      <c r="P43" s="35" t="e">
        <f t="shared" si="9"/>
        <v>#VALUE!</v>
      </c>
      <c r="Q43" s="35">
        <f t="shared" si="10"/>
        <v>0</v>
      </c>
      <c r="R43" s="35">
        <f t="shared" si="18"/>
        <v>0</v>
      </c>
      <c r="S43" s="35" t="e">
        <f t="shared" si="19"/>
        <v>#VALUE!</v>
      </c>
      <c r="T43" s="35" t="e">
        <f t="shared" si="28"/>
        <v>#VALUE!</v>
      </c>
      <c r="U43" s="35" t="e">
        <f t="shared" si="20"/>
        <v>#VALUE!</v>
      </c>
      <c r="V43" s="35" t="e">
        <f t="shared" si="21"/>
        <v>#VALUE!</v>
      </c>
      <c r="W43" s="35" t="e">
        <f t="shared" si="12"/>
        <v>#VALUE!</v>
      </c>
    </row>
    <row r="44" spans="3:23" x14ac:dyDescent="0.25">
      <c r="C44" s="34" t="str">
        <f t="shared" si="13"/>
        <v/>
      </c>
      <c r="D44" s="35" t="e">
        <f t="shared" si="29"/>
        <v>#VALUE!</v>
      </c>
      <c r="E44" s="35">
        <f t="shared" si="15"/>
        <v>0</v>
      </c>
      <c r="F44" s="35">
        <f t="shared" si="16"/>
        <v>0</v>
      </c>
      <c r="G44" s="35" t="e">
        <f t="shared" si="30"/>
        <v>#VALUE!</v>
      </c>
      <c r="H44" s="35" t="e">
        <f t="shared" si="22"/>
        <v>#VALUE!</v>
      </c>
      <c r="I44" s="35" t="e">
        <f t="shared" si="23"/>
        <v>#VALUE!</v>
      </c>
      <c r="J44" s="35">
        <f t="shared" si="24"/>
        <v>0</v>
      </c>
      <c r="K44" s="35">
        <f t="shared" si="31"/>
        <v>0</v>
      </c>
      <c r="L44" s="35" t="e">
        <f t="shared" si="25"/>
        <v>#VALUE!</v>
      </c>
      <c r="M44" s="36" t="e">
        <f t="shared" si="26"/>
        <v>#VALUE!</v>
      </c>
      <c r="N44" s="35" t="e">
        <f t="shared" si="27"/>
        <v>#VALUE!</v>
      </c>
      <c r="O44" s="35" t="e">
        <f t="shared" si="17"/>
        <v>#VALUE!</v>
      </c>
      <c r="P44" s="35" t="e">
        <f t="shared" si="9"/>
        <v>#VALUE!</v>
      </c>
      <c r="Q44" s="35">
        <f t="shared" si="10"/>
        <v>0</v>
      </c>
      <c r="R44" s="35">
        <f t="shared" si="18"/>
        <v>0</v>
      </c>
      <c r="S44" s="35" t="e">
        <f t="shared" si="19"/>
        <v>#VALUE!</v>
      </c>
      <c r="T44" s="35" t="e">
        <f t="shared" si="28"/>
        <v>#VALUE!</v>
      </c>
      <c r="U44" s="35" t="e">
        <f t="shared" si="20"/>
        <v>#VALUE!</v>
      </c>
      <c r="V44" s="35" t="e">
        <f t="shared" si="21"/>
        <v>#VALUE!</v>
      </c>
      <c r="W44" s="35" t="e">
        <f t="shared" si="12"/>
        <v>#VALUE!</v>
      </c>
    </row>
    <row r="45" spans="3:23" x14ac:dyDescent="0.25">
      <c r="C45" s="34" t="str">
        <f t="shared" si="13"/>
        <v/>
      </c>
      <c r="D45" s="35" t="e">
        <f t="shared" si="29"/>
        <v>#VALUE!</v>
      </c>
      <c r="E45" s="35">
        <f t="shared" si="15"/>
        <v>0</v>
      </c>
      <c r="F45" s="35">
        <f t="shared" si="16"/>
        <v>0</v>
      </c>
      <c r="G45" s="35" t="e">
        <f t="shared" si="30"/>
        <v>#VALUE!</v>
      </c>
      <c r="H45" s="35" t="e">
        <f t="shared" si="22"/>
        <v>#VALUE!</v>
      </c>
      <c r="I45" s="35" t="e">
        <f t="shared" si="23"/>
        <v>#VALUE!</v>
      </c>
      <c r="J45" s="35">
        <f t="shared" si="24"/>
        <v>0</v>
      </c>
      <c r="K45" s="35">
        <f t="shared" si="31"/>
        <v>0</v>
      </c>
      <c r="L45" s="35" t="e">
        <f t="shared" si="25"/>
        <v>#VALUE!</v>
      </c>
      <c r="M45" s="36" t="e">
        <f t="shared" si="26"/>
        <v>#VALUE!</v>
      </c>
      <c r="N45" s="35" t="e">
        <f t="shared" si="27"/>
        <v>#VALUE!</v>
      </c>
      <c r="O45" s="35" t="e">
        <f t="shared" si="17"/>
        <v>#VALUE!</v>
      </c>
      <c r="P45" s="35" t="e">
        <f t="shared" si="9"/>
        <v>#VALUE!</v>
      </c>
      <c r="Q45" s="35">
        <f t="shared" si="10"/>
        <v>0</v>
      </c>
      <c r="R45" s="35">
        <f t="shared" si="18"/>
        <v>0</v>
      </c>
      <c r="S45" s="35" t="e">
        <f t="shared" si="19"/>
        <v>#VALUE!</v>
      </c>
      <c r="T45" s="35" t="e">
        <f t="shared" si="28"/>
        <v>#VALUE!</v>
      </c>
      <c r="U45" s="35" t="e">
        <f t="shared" si="20"/>
        <v>#VALUE!</v>
      </c>
      <c r="V45" s="35" t="e">
        <f t="shared" si="21"/>
        <v>#VALUE!</v>
      </c>
      <c r="W45" s="35" t="e">
        <f t="shared" si="12"/>
        <v>#VALUE!</v>
      </c>
    </row>
    <row r="46" spans="3:23" x14ac:dyDescent="0.25">
      <c r="C46" s="34" t="str">
        <f t="shared" si="13"/>
        <v/>
      </c>
      <c r="D46" s="35" t="e">
        <f t="shared" si="29"/>
        <v>#VALUE!</v>
      </c>
      <c r="E46" s="35">
        <f t="shared" si="15"/>
        <v>0</v>
      </c>
      <c r="F46" s="35">
        <f t="shared" si="16"/>
        <v>0</v>
      </c>
      <c r="G46" s="35" t="e">
        <f t="shared" si="30"/>
        <v>#VALUE!</v>
      </c>
      <c r="H46" s="35" t="e">
        <f t="shared" si="22"/>
        <v>#VALUE!</v>
      </c>
      <c r="I46" s="35" t="e">
        <f t="shared" si="23"/>
        <v>#VALUE!</v>
      </c>
      <c r="J46" s="35">
        <f t="shared" si="24"/>
        <v>0</v>
      </c>
      <c r="K46" s="35">
        <f t="shared" si="31"/>
        <v>0</v>
      </c>
      <c r="L46" s="35" t="e">
        <f t="shared" si="25"/>
        <v>#VALUE!</v>
      </c>
      <c r="M46" s="36" t="e">
        <f t="shared" si="26"/>
        <v>#VALUE!</v>
      </c>
      <c r="N46" s="35" t="e">
        <f t="shared" si="27"/>
        <v>#VALUE!</v>
      </c>
      <c r="O46" s="35" t="e">
        <f t="shared" si="17"/>
        <v>#VALUE!</v>
      </c>
      <c r="P46" s="35" t="e">
        <f t="shared" si="9"/>
        <v>#VALUE!</v>
      </c>
      <c r="Q46" s="35">
        <f t="shared" si="10"/>
        <v>0</v>
      </c>
      <c r="R46" s="35">
        <f t="shared" si="18"/>
        <v>0</v>
      </c>
      <c r="S46" s="35" t="e">
        <f t="shared" si="19"/>
        <v>#VALUE!</v>
      </c>
      <c r="T46" s="35" t="e">
        <f t="shared" si="28"/>
        <v>#VALUE!</v>
      </c>
      <c r="U46" s="35" t="e">
        <f t="shared" si="20"/>
        <v>#VALUE!</v>
      </c>
      <c r="V46" s="35" t="e">
        <f t="shared" si="21"/>
        <v>#VALUE!</v>
      </c>
      <c r="W46" s="35" t="e">
        <f t="shared" si="12"/>
        <v>#VALUE!</v>
      </c>
    </row>
    <row r="47" spans="3:23" x14ac:dyDescent="0.25">
      <c r="C47" s="34" t="str">
        <f t="shared" si="13"/>
        <v/>
      </c>
      <c r="D47" s="35" t="e">
        <f t="shared" si="29"/>
        <v>#VALUE!</v>
      </c>
      <c r="E47" s="35">
        <f t="shared" si="15"/>
        <v>0</v>
      </c>
      <c r="F47" s="35">
        <f t="shared" si="16"/>
        <v>0</v>
      </c>
      <c r="G47" s="35" t="e">
        <f t="shared" si="30"/>
        <v>#VALUE!</v>
      </c>
      <c r="H47" s="35" t="e">
        <f t="shared" si="22"/>
        <v>#VALUE!</v>
      </c>
      <c r="I47" s="35" t="e">
        <f t="shared" si="23"/>
        <v>#VALUE!</v>
      </c>
      <c r="J47" s="35">
        <f t="shared" si="24"/>
        <v>0</v>
      </c>
      <c r="K47" s="35">
        <f t="shared" si="31"/>
        <v>0</v>
      </c>
      <c r="L47" s="35" t="e">
        <f t="shared" si="25"/>
        <v>#VALUE!</v>
      </c>
      <c r="M47" s="36" t="e">
        <f t="shared" si="26"/>
        <v>#VALUE!</v>
      </c>
      <c r="N47" s="35" t="e">
        <f t="shared" si="27"/>
        <v>#VALUE!</v>
      </c>
      <c r="O47" s="35" t="e">
        <f t="shared" si="17"/>
        <v>#VALUE!</v>
      </c>
      <c r="P47" s="35" t="e">
        <f t="shared" si="9"/>
        <v>#VALUE!</v>
      </c>
      <c r="Q47" s="35">
        <f t="shared" si="10"/>
        <v>0</v>
      </c>
      <c r="R47" s="35">
        <f t="shared" si="18"/>
        <v>0</v>
      </c>
      <c r="S47" s="35" t="e">
        <f t="shared" si="19"/>
        <v>#VALUE!</v>
      </c>
      <c r="T47" s="35" t="e">
        <f t="shared" si="28"/>
        <v>#VALUE!</v>
      </c>
      <c r="U47" s="35" t="e">
        <f t="shared" si="20"/>
        <v>#VALUE!</v>
      </c>
      <c r="V47" s="35" t="e">
        <f t="shared" si="21"/>
        <v>#VALUE!</v>
      </c>
      <c r="W47" s="35" t="e">
        <f t="shared" si="12"/>
        <v>#VALUE!</v>
      </c>
    </row>
    <row r="48" spans="3:23" x14ac:dyDescent="0.25">
      <c r="C48" s="34" t="str">
        <f t="shared" si="13"/>
        <v/>
      </c>
      <c r="D48" s="35" t="e">
        <f t="shared" si="29"/>
        <v>#VALUE!</v>
      </c>
      <c r="E48" s="35">
        <f t="shared" si="15"/>
        <v>0</v>
      </c>
      <c r="F48" s="35">
        <f t="shared" si="16"/>
        <v>0</v>
      </c>
      <c r="G48" s="35" t="e">
        <f t="shared" si="30"/>
        <v>#VALUE!</v>
      </c>
      <c r="H48" s="35" t="e">
        <f t="shared" si="22"/>
        <v>#VALUE!</v>
      </c>
      <c r="I48" s="35" t="e">
        <f t="shared" si="23"/>
        <v>#VALUE!</v>
      </c>
      <c r="J48" s="35">
        <f t="shared" si="24"/>
        <v>0</v>
      </c>
      <c r="K48" s="35">
        <f t="shared" si="31"/>
        <v>0</v>
      </c>
      <c r="L48" s="35" t="e">
        <f t="shared" si="25"/>
        <v>#VALUE!</v>
      </c>
      <c r="M48" s="36" t="e">
        <f t="shared" si="26"/>
        <v>#VALUE!</v>
      </c>
      <c r="N48" s="35" t="e">
        <f t="shared" si="27"/>
        <v>#VALUE!</v>
      </c>
      <c r="O48" s="35" t="e">
        <f t="shared" si="17"/>
        <v>#VALUE!</v>
      </c>
      <c r="P48" s="35" t="e">
        <f t="shared" si="9"/>
        <v>#VALUE!</v>
      </c>
      <c r="Q48" s="35">
        <f t="shared" si="10"/>
        <v>0</v>
      </c>
      <c r="R48" s="35">
        <f t="shared" si="18"/>
        <v>0</v>
      </c>
      <c r="S48" s="35" t="e">
        <f t="shared" si="19"/>
        <v>#VALUE!</v>
      </c>
      <c r="T48" s="35" t="e">
        <f t="shared" si="28"/>
        <v>#VALUE!</v>
      </c>
      <c r="U48" s="35" t="e">
        <f t="shared" si="20"/>
        <v>#VALUE!</v>
      </c>
      <c r="V48" s="35" t="e">
        <f t="shared" si="21"/>
        <v>#VALUE!</v>
      </c>
      <c r="W48" s="35" t="e">
        <f t="shared" si="12"/>
        <v>#VALUE!</v>
      </c>
    </row>
    <row r="49" spans="3:23" x14ac:dyDescent="0.25">
      <c r="C49" s="34" t="str">
        <f t="shared" si="13"/>
        <v/>
      </c>
      <c r="D49" s="35" t="e">
        <f t="shared" si="29"/>
        <v>#VALUE!</v>
      </c>
      <c r="E49" s="35">
        <f t="shared" si="15"/>
        <v>0</v>
      </c>
      <c r="F49" s="35">
        <f t="shared" si="16"/>
        <v>0</v>
      </c>
      <c r="G49" s="35" t="e">
        <f t="shared" si="30"/>
        <v>#VALUE!</v>
      </c>
      <c r="H49" s="35" t="e">
        <f t="shared" si="22"/>
        <v>#VALUE!</v>
      </c>
      <c r="I49" s="35" t="e">
        <f t="shared" si="23"/>
        <v>#VALUE!</v>
      </c>
      <c r="J49" s="35">
        <f t="shared" si="24"/>
        <v>0</v>
      </c>
      <c r="K49" s="35">
        <f t="shared" si="31"/>
        <v>0</v>
      </c>
      <c r="L49" s="35" t="e">
        <f t="shared" si="25"/>
        <v>#VALUE!</v>
      </c>
      <c r="M49" s="36" t="e">
        <f t="shared" si="26"/>
        <v>#VALUE!</v>
      </c>
      <c r="N49" s="35" t="e">
        <f t="shared" si="27"/>
        <v>#VALUE!</v>
      </c>
      <c r="O49" s="35" t="e">
        <f t="shared" si="17"/>
        <v>#VALUE!</v>
      </c>
      <c r="P49" s="35" t="e">
        <f t="shared" si="9"/>
        <v>#VALUE!</v>
      </c>
      <c r="Q49" s="35">
        <f t="shared" si="10"/>
        <v>0</v>
      </c>
      <c r="R49" s="35">
        <f t="shared" si="18"/>
        <v>0</v>
      </c>
      <c r="S49" s="35" t="e">
        <f t="shared" si="19"/>
        <v>#VALUE!</v>
      </c>
      <c r="T49" s="35" t="e">
        <f t="shared" si="28"/>
        <v>#VALUE!</v>
      </c>
      <c r="U49" s="35" t="e">
        <f t="shared" si="20"/>
        <v>#VALUE!</v>
      </c>
      <c r="V49" s="35" t="e">
        <f t="shared" si="21"/>
        <v>#VALUE!</v>
      </c>
      <c r="W49" s="35" t="e">
        <f t="shared" si="12"/>
        <v>#VALUE!</v>
      </c>
    </row>
    <row r="50" spans="3:23" x14ac:dyDescent="0.25">
      <c r="C50" s="34" t="str">
        <f t="shared" si="13"/>
        <v/>
      </c>
      <c r="D50" s="35" t="e">
        <f t="shared" si="29"/>
        <v>#VALUE!</v>
      </c>
      <c r="E50" s="35">
        <f t="shared" si="15"/>
        <v>0</v>
      </c>
      <c r="F50" s="35">
        <f t="shared" si="16"/>
        <v>0</v>
      </c>
      <c r="G50" s="35" t="e">
        <f t="shared" si="30"/>
        <v>#VALUE!</v>
      </c>
      <c r="H50" s="35" t="e">
        <f t="shared" si="22"/>
        <v>#VALUE!</v>
      </c>
      <c r="I50" s="35" t="e">
        <f t="shared" si="23"/>
        <v>#VALUE!</v>
      </c>
      <c r="J50" s="35">
        <f t="shared" si="24"/>
        <v>0</v>
      </c>
      <c r="K50" s="35">
        <f t="shared" si="31"/>
        <v>0</v>
      </c>
      <c r="L50" s="35" t="e">
        <f t="shared" si="25"/>
        <v>#VALUE!</v>
      </c>
      <c r="M50" s="36" t="e">
        <f t="shared" si="26"/>
        <v>#VALUE!</v>
      </c>
      <c r="N50" s="35" t="e">
        <f t="shared" si="27"/>
        <v>#VALUE!</v>
      </c>
      <c r="O50" s="35" t="e">
        <f t="shared" si="17"/>
        <v>#VALUE!</v>
      </c>
      <c r="P50" s="35" t="e">
        <f t="shared" si="9"/>
        <v>#VALUE!</v>
      </c>
      <c r="Q50" s="35">
        <f t="shared" si="10"/>
        <v>0</v>
      </c>
      <c r="R50" s="35">
        <f t="shared" si="18"/>
        <v>0</v>
      </c>
      <c r="S50" s="35" t="e">
        <f t="shared" si="19"/>
        <v>#VALUE!</v>
      </c>
      <c r="T50" s="35" t="e">
        <f t="shared" si="28"/>
        <v>#VALUE!</v>
      </c>
      <c r="U50" s="35" t="e">
        <f t="shared" si="20"/>
        <v>#VALUE!</v>
      </c>
      <c r="V50" s="35" t="e">
        <f t="shared" si="21"/>
        <v>#VALUE!</v>
      </c>
      <c r="W50" s="35" t="e">
        <f t="shared" si="12"/>
        <v>#VALUE!</v>
      </c>
    </row>
    <row r="51" spans="3:23" x14ac:dyDescent="0.25">
      <c r="C51" s="34" t="str">
        <f t="shared" si="13"/>
        <v/>
      </c>
      <c r="D51" s="35" t="e">
        <f t="shared" si="29"/>
        <v>#VALUE!</v>
      </c>
      <c r="E51" s="35">
        <f t="shared" si="15"/>
        <v>0</v>
      </c>
      <c r="F51" s="35">
        <f t="shared" si="16"/>
        <v>0</v>
      </c>
      <c r="G51" s="35" t="e">
        <f t="shared" si="30"/>
        <v>#VALUE!</v>
      </c>
      <c r="H51" s="35" t="e">
        <f t="shared" si="22"/>
        <v>#VALUE!</v>
      </c>
      <c r="I51" s="35" t="e">
        <f t="shared" si="23"/>
        <v>#VALUE!</v>
      </c>
      <c r="J51" s="35">
        <f t="shared" si="24"/>
        <v>0</v>
      </c>
      <c r="K51" s="35">
        <f t="shared" si="31"/>
        <v>0</v>
      </c>
      <c r="L51" s="35" t="e">
        <f t="shared" si="25"/>
        <v>#VALUE!</v>
      </c>
      <c r="M51" s="36" t="e">
        <f t="shared" si="26"/>
        <v>#VALUE!</v>
      </c>
      <c r="N51" s="35" t="e">
        <f t="shared" si="27"/>
        <v>#VALUE!</v>
      </c>
      <c r="O51" s="35" t="e">
        <f t="shared" si="17"/>
        <v>#VALUE!</v>
      </c>
      <c r="P51" s="35" t="e">
        <f t="shared" si="9"/>
        <v>#VALUE!</v>
      </c>
      <c r="Q51" s="35">
        <f t="shared" si="10"/>
        <v>0</v>
      </c>
      <c r="R51" s="35">
        <f t="shared" si="18"/>
        <v>0</v>
      </c>
      <c r="S51" s="35" t="e">
        <f t="shared" si="19"/>
        <v>#VALUE!</v>
      </c>
      <c r="T51" s="35" t="e">
        <f t="shared" si="28"/>
        <v>#VALUE!</v>
      </c>
      <c r="U51" s="35" t="e">
        <f t="shared" si="20"/>
        <v>#VALUE!</v>
      </c>
      <c r="V51" s="35" t="e">
        <f t="shared" si="21"/>
        <v>#VALUE!</v>
      </c>
      <c r="W51" s="35" t="e">
        <f t="shared" si="12"/>
        <v>#VALUE!</v>
      </c>
    </row>
    <row r="52" spans="3:23" x14ac:dyDescent="0.25">
      <c r="C52" s="34" t="str">
        <f t="shared" si="13"/>
        <v/>
      </c>
      <c r="D52" s="35" t="e">
        <f t="shared" si="29"/>
        <v>#VALUE!</v>
      </c>
      <c r="E52" s="35">
        <f t="shared" si="15"/>
        <v>0</v>
      </c>
      <c r="F52" s="35">
        <f t="shared" si="16"/>
        <v>0</v>
      </c>
      <c r="G52" s="35" t="e">
        <f t="shared" si="30"/>
        <v>#VALUE!</v>
      </c>
      <c r="H52" s="35" t="e">
        <f t="shared" si="22"/>
        <v>#VALUE!</v>
      </c>
      <c r="I52" s="35" t="e">
        <f t="shared" si="23"/>
        <v>#VALUE!</v>
      </c>
      <c r="J52" s="35">
        <f t="shared" si="24"/>
        <v>0</v>
      </c>
      <c r="K52" s="35">
        <f t="shared" si="31"/>
        <v>0</v>
      </c>
      <c r="L52" s="35" t="e">
        <f t="shared" si="25"/>
        <v>#VALUE!</v>
      </c>
      <c r="M52" s="36" t="e">
        <f t="shared" si="26"/>
        <v>#VALUE!</v>
      </c>
      <c r="N52" s="35" t="e">
        <f t="shared" si="27"/>
        <v>#VALUE!</v>
      </c>
      <c r="O52" s="35" t="e">
        <f t="shared" si="17"/>
        <v>#VALUE!</v>
      </c>
      <c r="P52" s="35" t="e">
        <f t="shared" si="9"/>
        <v>#VALUE!</v>
      </c>
      <c r="Q52" s="35">
        <f t="shared" si="10"/>
        <v>0</v>
      </c>
      <c r="R52" s="35">
        <f t="shared" si="18"/>
        <v>0</v>
      </c>
      <c r="S52" s="35" t="e">
        <f t="shared" si="19"/>
        <v>#VALUE!</v>
      </c>
      <c r="T52" s="35" t="e">
        <f t="shared" si="28"/>
        <v>#VALUE!</v>
      </c>
      <c r="U52" s="35" t="e">
        <f t="shared" si="20"/>
        <v>#VALUE!</v>
      </c>
      <c r="V52" s="35" t="e">
        <f t="shared" si="21"/>
        <v>#VALUE!</v>
      </c>
      <c r="W52" s="35" t="e">
        <f t="shared" si="12"/>
        <v>#VALUE!</v>
      </c>
    </row>
    <row r="53" spans="3:23" x14ac:dyDescent="0.25">
      <c r="C53" s="34" t="str">
        <f t="shared" si="13"/>
        <v/>
      </c>
      <c r="D53" s="35" t="e">
        <f t="shared" si="29"/>
        <v>#VALUE!</v>
      </c>
      <c r="E53" s="35">
        <f t="shared" si="15"/>
        <v>0</v>
      </c>
      <c r="F53" s="35">
        <f t="shared" si="16"/>
        <v>0</v>
      </c>
      <c r="G53" s="35" t="e">
        <f t="shared" si="30"/>
        <v>#VALUE!</v>
      </c>
      <c r="H53" s="35" t="e">
        <f t="shared" si="22"/>
        <v>#VALUE!</v>
      </c>
      <c r="I53" s="35" t="e">
        <f t="shared" si="23"/>
        <v>#VALUE!</v>
      </c>
      <c r="J53" s="35">
        <f t="shared" si="24"/>
        <v>0</v>
      </c>
      <c r="K53" s="35">
        <f t="shared" si="31"/>
        <v>0</v>
      </c>
      <c r="L53" s="35" t="e">
        <f t="shared" si="25"/>
        <v>#VALUE!</v>
      </c>
      <c r="M53" s="36" t="e">
        <f t="shared" si="26"/>
        <v>#VALUE!</v>
      </c>
      <c r="N53" s="35" t="e">
        <f t="shared" si="27"/>
        <v>#VALUE!</v>
      </c>
      <c r="O53" s="35" t="e">
        <f t="shared" si="17"/>
        <v>#VALUE!</v>
      </c>
      <c r="P53" s="35" t="e">
        <f t="shared" si="9"/>
        <v>#VALUE!</v>
      </c>
      <c r="Q53" s="35">
        <f t="shared" si="10"/>
        <v>0</v>
      </c>
      <c r="R53" s="35">
        <f t="shared" si="18"/>
        <v>0</v>
      </c>
      <c r="S53" s="35" t="e">
        <f t="shared" si="19"/>
        <v>#VALUE!</v>
      </c>
      <c r="T53" s="35" t="e">
        <f t="shared" si="28"/>
        <v>#VALUE!</v>
      </c>
      <c r="U53" s="35" t="e">
        <f t="shared" si="20"/>
        <v>#VALUE!</v>
      </c>
      <c r="V53" s="35" t="e">
        <f t="shared" si="21"/>
        <v>#VALUE!</v>
      </c>
      <c r="W53" s="35" t="e">
        <f t="shared" si="12"/>
        <v>#VALUE!</v>
      </c>
    </row>
    <row r="54" spans="3:23" x14ac:dyDescent="0.25">
      <c r="C54" s="34" t="str">
        <f t="shared" si="13"/>
        <v/>
      </c>
      <c r="D54" s="35" t="e">
        <f t="shared" si="29"/>
        <v>#VALUE!</v>
      </c>
      <c r="E54" s="35">
        <f t="shared" si="15"/>
        <v>0</v>
      </c>
      <c r="F54" s="35">
        <f t="shared" si="16"/>
        <v>0</v>
      </c>
      <c r="G54" s="35" t="e">
        <f t="shared" si="30"/>
        <v>#VALUE!</v>
      </c>
      <c r="H54" s="35" t="e">
        <f t="shared" si="22"/>
        <v>#VALUE!</v>
      </c>
      <c r="I54" s="35" t="e">
        <f t="shared" si="23"/>
        <v>#VALUE!</v>
      </c>
      <c r="J54" s="35">
        <f t="shared" si="24"/>
        <v>0</v>
      </c>
      <c r="K54" s="35">
        <f t="shared" si="31"/>
        <v>0</v>
      </c>
      <c r="L54" s="35" t="e">
        <f t="shared" si="25"/>
        <v>#VALUE!</v>
      </c>
      <c r="M54" s="36" t="e">
        <f t="shared" si="26"/>
        <v>#VALUE!</v>
      </c>
      <c r="N54" s="35" t="e">
        <f t="shared" si="27"/>
        <v>#VALUE!</v>
      </c>
      <c r="O54" s="35" t="e">
        <f t="shared" si="17"/>
        <v>#VALUE!</v>
      </c>
      <c r="P54" s="35" t="e">
        <f t="shared" si="9"/>
        <v>#VALUE!</v>
      </c>
      <c r="Q54" s="35">
        <f t="shared" si="10"/>
        <v>0</v>
      </c>
      <c r="R54" s="35">
        <f t="shared" si="18"/>
        <v>0</v>
      </c>
      <c r="S54" s="35" t="e">
        <f t="shared" si="19"/>
        <v>#VALUE!</v>
      </c>
      <c r="T54" s="35" t="e">
        <f t="shared" si="28"/>
        <v>#VALUE!</v>
      </c>
      <c r="U54" s="35" t="e">
        <f t="shared" si="20"/>
        <v>#VALUE!</v>
      </c>
      <c r="V54" s="35" t="e">
        <f t="shared" si="21"/>
        <v>#VALUE!</v>
      </c>
      <c r="W54" s="35" t="e">
        <f t="shared" si="12"/>
        <v>#VALUE!</v>
      </c>
    </row>
    <row r="55" spans="3:23" x14ac:dyDescent="0.25">
      <c r="C55" s="34" t="str">
        <f t="shared" si="13"/>
        <v/>
      </c>
      <c r="D55" s="35" t="e">
        <f t="shared" si="29"/>
        <v>#VALUE!</v>
      </c>
      <c r="E55" s="35">
        <f t="shared" si="15"/>
        <v>0</v>
      </c>
      <c r="F55" s="35">
        <f t="shared" si="16"/>
        <v>0</v>
      </c>
      <c r="G55" s="35" t="e">
        <f t="shared" si="30"/>
        <v>#VALUE!</v>
      </c>
      <c r="H55" s="35" t="e">
        <f t="shared" si="22"/>
        <v>#VALUE!</v>
      </c>
      <c r="I55" s="35" t="e">
        <f t="shared" si="23"/>
        <v>#VALUE!</v>
      </c>
      <c r="J55" s="35">
        <f t="shared" si="24"/>
        <v>0</v>
      </c>
      <c r="K55" s="35">
        <f t="shared" si="31"/>
        <v>0</v>
      </c>
      <c r="L55" s="35" t="e">
        <f t="shared" si="25"/>
        <v>#VALUE!</v>
      </c>
      <c r="M55" s="36" t="e">
        <f t="shared" si="26"/>
        <v>#VALUE!</v>
      </c>
      <c r="N55" s="35" t="e">
        <f t="shared" si="27"/>
        <v>#VALUE!</v>
      </c>
      <c r="O55" s="35" t="e">
        <f t="shared" si="17"/>
        <v>#VALUE!</v>
      </c>
      <c r="P55" s="35" t="e">
        <f t="shared" si="9"/>
        <v>#VALUE!</v>
      </c>
      <c r="Q55" s="35">
        <f t="shared" si="10"/>
        <v>0</v>
      </c>
      <c r="R55" s="35">
        <f t="shared" si="18"/>
        <v>0</v>
      </c>
      <c r="S55" s="35" t="e">
        <f t="shared" si="19"/>
        <v>#VALUE!</v>
      </c>
      <c r="T55" s="35" t="e">
        <f t="shared" si="28"/>
        <v>#VALUE!</v>
      </c>
      <c r="U55" s="35" t="e">
        <f t="shared" si="20"/>
        <v>#VALUE!</v>
      </c>
      <c r="V55" s="35" t="e">
        <f t="shared" si="21"/>
        <v>#VALUE!</v>
      </c>
      <c r="W55" s="35" t="e">
        <f t="shared" si="12"/>
        <v>#VALUE!</v>
      </c>
    </row>
    <row r="56" spans="3:23" x14ac:dyDescent="0.25">
      <c r="C56" s="34" t="str">
        <f t="shared" si="13"/>
        <v/>
      </c>
      <c r="D56" s="35" t="e">
        <f t="shared" si="29"/>
        <v>#VALUE!</v>
      </c>
      <c r="E56" s="35">
        <f t="shared" si="15"/>
        <v>0</v>
      </c>
      <c r="F56" s="35">
        <f t="shared" si="16"/>
        <v>0</v>
      </c>
      <c r="G56" s="35" t="e">
        <f t="shared" si="30"/>
        <v>#VALUE!</v>
      </c>
      <c r="H56" s="35" t="e">
        <f t="shared" si="22"/>
        <v>#VALUE!</v>
      </c>
      <c r="I56" s="35" t="e">
        <f t="shared" si="23"/>
        <v>#VALUE!</v>
      </c>
      <c r="J56" s="35">
        <f t="shared" si="24"/>
        <v>0</v>
      </c>
      <c r="K56" s="35">
        <f t="shared" si="31"/>
        <v>0</v>
      </c>
      <c r="L56" s="35" t="e">
        <f t="shared" si="25"/>
        <v>#VALUE!</v>
      </c>
      <c r="M56" s="36" t="e">
        <f t="shared" si="26"/>
        <v>#VALUE!</v>
      </c>
      <c r="N56" s="35" t="e">
        <f t="shared" si="27"/>
        <v>#VALUE!</v>
      </c>
      <c r="O56" s="35" t="e">
        <f t="shared" si="17"/>
        <v>#VALUE!</v>
      </c>
      <c r="P56" s="35" t="e">
        <f t="shared" si="9"/>
        <v>#VALUE!</v>
      </c>
      <c r="Q56" s="35">
        <f t="shared" si="10"/>
        <v>0</v>
      </c>
      <c r="R56" s="35">
        <f t="shared" si="18"/>
        <v>0</v>
      </c>
      <c r="S56" s="35" t="e">
        <f t="shared" si="19"/>
        <v>#VALUE!</v>
      </c>
      <c r="T56" s="35" t="e">
        <f t="shared" si="28"/>
        <v>#VALUE!</v>
      </c>
      <c r="U56" s="35" t="e">
        <f t="shared" si="20"/>
        <v>#VALUE!</v>
      </c>
      <c r="V56" s="35" t="e">
        <f t="shared" si="21"/>
        <v>#VALUE!</v>
      </c>
      <c r="W56" s="35" t="e">
        <f t="shared" si="12"/>
        <v>#VALUE!</v>
      </c>
    </row>
    <row r="57" spans="3:23" x14ac:dyDescent="0.25">
      <c r="C57" s="34" t="str">
        <f t="shared" si="13"/>
        <v/>
      </c>
      <c r="D57" s="35" t="e">
        <f t="shared" si="29"/>
        <v>#VALUE!</v>
      </c>
      <c r="E57" s="35">
        <f t="shared" si="15"/>
        <v>0</v>
      </c>
      <c r="F57" s="35">
        <f t="shared" si="16"/>
        <v>0</v>
      </c>
      <c r="G57" s="35" t="e">
        <f t="shared" si="30"/>
        <v>#VALUE!</v>
      </c>
      <c r="H57" s="35" t="e">
        <f t="shared" si="22"/>
        <v>#VALUE!</v>
      </c>
      <c r="I57" s="35" t="e">
        <f t="shared" si="23"/>
        <v>#VALUE!</v>
      </c>
      <c r="J57" s="35">
        <f t="shared" si="24"/>
        <v>0</v>
      </c>
      <c r="K57" s="35">
        <f t="shared" si="31"/>
        <v>0</v>
      </c>
      <c r="L57" s="35" t="e">
        <f t="shared" si="25"/>
        <v>#VALUE!</v>
      </c>
      <c r="M57" s="36" t="e">
        <f t="shared" si="26"/>
        <v>#VALUE!</v>
      </c>
      <c r="N57" s="35" t="e">
        <f t="shared" si="27"/>
        <v>#VALUE!</v>
      </c>
      <c r="O57" s="35" t="e">
        <f t="shared" si="17"/>
        <v>#VALUE!</v>
      </c>
      <c r="P57" s="35" t="e">
        <f t="shared" si="9"/>
        <v>#VALUE!</v>
      </c>
      <c r="Q57" s="35">
        <f t="shared" si="10"/>
        <v>0</v>
      </c>
      <c r="R57" s="35">
        <f t="shared" si="18"/>
        <v>0</v>
      </c>
      <c r="S57" s="35" t="e">
        <f t="shared" si="19"/>
        <v>#VALUE!</v>
      </c>
      <c r="T57" s="35" t="e">
        <f t="shared" si="28"/>
        <v>#VALUE!</v>
      </c>
      <c r="U57" s="35" t="e">
        <f t="shared" si="20"/>
        <v>#VALUE!</v>
      </c>
      <c r="V57" s="35" t="e">
        <f t="shared" si="21"/>
        <v>#VALUE!</v>
      </c>
      <c r="W57" s="35" t="e">
        <f t="shared" si="12"/>
        <v>#VALUE!</v>
      </c>
    </row>
    <row r="58" spans="3:23" x14ac:dyDescent="0.25">
      <c r="C58" s="34" t="str">
        <f t="shared" si="13"/>
        <v/>
      </c>
      <c r="D58" s="35" t="e">
        <f t="shared" si="29"/>
        <v>#VALUE!</v>
      </c>
      <c r="E58" s="35">
        <f t="shared" si="15"/>
        <v>0</v>
      </c>
      <c r="F58" s="35">
        <f t="shared" si="16"/>
        <v>0</v>
      </c>
      <c r="G58" s="35" t="e">
        <f t="shared" si="30"/>
        <v>#VALUE!</v>
      </c>
      <c r="H58" s="35" t="e">
        <f t="shared" si="22"/>
        <v>#VALUE!</v>
      </c>
      <c r="I58" s="35" t="e">
        <f t="shared" si="23"/>
        <v>#VALUE!</v>
      </c>
      <c r="J58" s="35">
        <f t="shared" si="24"/>
        <v>0</v>
      </c>
      <c r="K58" s="35">
        <f t="shared" si="31"/>
        <v>0</v>
      </c>
      <c r="L58" s="35" t="e">
        <f t="shared" si="25"/>
        <v>#VALUE!</v>
      </c>
      <c r="M58" s="36" t="e">
        <f t="shared" si="26"/>
        <v>#VALUE!</v>
      </c>
      <c r="N58" s="35" t="e">
        <f t="shared" si="27"/>
        <v>#VALUE!</v>
      </c>
      <c r="O58" s="35" t="e">
        <f t="shared" si="17"/>
        <v>#VALUE!</v>
      </c>
      <c r="P58" s="35" t="e">
        <f t="shared" si="9"/>
        <v>#VALUE!</v>
      </c>
      <c r="Q58" s="35">
        <f t="shared" si="10"/>
        <v>0</v>
      </c>
      <c r="R58" s="35">
        <f t="shared" si="18"/>
        <v>0</v>
      </c>
      <c r="S58" s="35" t="e">
        <f t="shared" si="19"/>
        <v>#VALUE!</v>
      </c>
      <c r="T58" s="35" t="e">
        <f t="shared" si="28"/>
        <v>#VALUE!</v>
      </c>
      <c r="U58" s="35" t="e">
        <f t="shared" si="20"/>
        <v>#VALUE!</v>
      </c>
      <c r="V58" s="35" t="e">
        <f t="shared" si="21"/>
        <v>#VALUE!</v>
      </c>
      <c r="W58" s="35" t="e">
        <f t="shared" si="12"/>
        <v>#VALUE!</v>
      </c>
    </row>
    <row r="59" spans="3:23" x14ac:dyDescent="0.25">
      <c r="C59" s="34" t="str">
        <f t="shared" si="13"/>
        <v/>
      </c>
      <c r="D59" s="35" t="e">
        <f t="shared" si="29"/>
        <v>#VALUE!</v>
      </c>
      <c r="E59" s="35">
        <f t="shared" si="15"/>
        <v>0</v>
      </c>
      <c r="F59" s="35">
        <f t="shared" si="16"/>
        <v>0</v>
      </c>
      <c r="G59" s="35" t="e">
        <f t="shared" si="30"/>
        <v>#VALUE!</v>
      </c>
      <c r="H59" s="35" t="e">
        <f t="shared" si="22"/>
        <v>#VALUE!</v>
      </c>
      <c r="I59" s="35" t="e">
        <f t="shared" si="23"/>
        <v>#VALUE!</v>
      </c>
      <c r="J59" s="35">
        <f t="shared" si="24"/>
        <v>0</v>
      </c>
      <c r="K59" s="35">
        <f t="shared" si="31"/>
        <v>0</v>
      </c>
      <c r="L59" s="35" t="e">
        <f t="shared" si="25"/>
        <v>#VALUE!</v>
      </c>
      <c r="M59" s="36" t="e">
        <f t="shared" si="26"/>
        <v>#VALUE!</v>
      </c>
      <c r="N59" s="35" t="e">
        <f t="shared" si="27"/>
        <v>#VALUE!</v>
      </c>
      <c r="O59" s="35" t="e">
        <f t="shared" si="17"/>
        <v>#VALUE!</v>
      </c>
      <c r="P59" s="35" t="e">
        <f t="shared" si="9"/>
        <v>#VALUE!</v>
      </c>
      <c r="Q59" s="35">
        <f t="shared" si="10"/>
        <v>0</v>
      </c>
      <c r="R59" s="35">
        <f t="shared" si="18"/>
        <v>0</v>
      </c>
      <c r="S59" s="35" t="e">
        <f t="shared" si="19"/>
        <v>#VALUE!</v>
      </c>
      <c r="T59" s="35" t="e">
        <f t="shared" si="28"/>
        <v>#VALUE!</v>
      </c>
      <c r="U59" s="35" t="e">
        <f t="shared" si="20"/>
        <v>#VALUE!</v>
      </c>
      <c r="V59" s="35" t="e">
        <f t="shared" si="21"/>
        <v>#VALUE!</v>
      </c>
      <c r="W59" s="35" t="e">
        <f t="shared" si="12"/>
        <v>#VALUE!</v>
      </c>
    </row>
    <row r="60" spans="3:23" x14ac:dyDescent="0.25">
      <c r="C60" s="34" t="str">
        <f t="shared" si="13"/>
        <v/>
      </c>
      <c r="D60" s="35" t="e">
        <f t="shared" si="29"/>
        <v>#VALUE!</v>
      </c>
      <c r="E60" s="35">
        <f t="shared" si="15"/>
        <v>0</v>
      </c>
      <c r="F60" s="35">
        <f t="shared" si="16"/>
        <v>0</v>
      </c>
      <c r="G60" s="35" t="e">
        <f t="shared" si="30"/>
        <v>#VALUE!</v>
      </c>
      <c r="H60" s="35" t="e">
        <f t="shared" si="22"/>
        <v>#VALUE!</v>
      </c>
      <c r="I60" s="35" t="e">
        <f t="shared" si="23"/>
        <v>#VALUE!</v>
      </c>
      <c r="J60" s="35">
        <f t="shared" si="24"/>
        <v>0</v>
      </c>
      <c r="K60" s="35">
        <f t="shared" si="31"/>
        <v>0</v>
      </c>
      <c r="L60" s="35" t="e">
        <f t="shared" si="25"/>
        <v>#VALUE!</v>
      </c>
      <c r="M60" s="36" t="e">
        <f t="shared" si="26"/>
        <v>#VALUE!</v>
      </c>
      <c r="N60" s="35" t="e">
        <f t="shared" si="27"/>
        <v>#VALUE!</v>
      </c>
      <c r="O60" s="35" t="e">
        <f t="shared" si="17"/>
        <v>#VALUE!</v>
      </c>
      <c r="P60" s="35" t="e">
        <f t="shared" si="9"/>
        <v>#VALUE!</v>
      </c>
      <c r="Q60" s="35">
        <f t="shared" si="10"/>
        <v>0</v>
      </c>
      <c r="R60" s="35">
        <f t="shared" si="18"/>
        <v>0</v>
      </c>
      <c r="S60" s="35" t="e">
        <f t="shared" si="19"/>
        <v>#VALUE!</v>
      </c>
      <c r="T60" s="35" t="e">
        <f t="shared" si="28"/>
        <v>#VALUE!</v>
      </c>
      <c r="U60" s="35" t="e">
        <f t="shared" si="20"/>
        <v>#VALUE!</v>
      </c>
      <c r="V60" s="35" t="e">
        <f t="shared" si="21"/>
        <v>#VALUE!</v>
      </c>
      <c r="W60" s="35" t="e">
        <f t="shared" si="12"/>
        <v>#VALUE!</v>
      </c>
    </row>
    <row r="61" spans="3:23" x14ac:dyDescent="0.25">
      <c r="C61" s="34" t="str">
        <f t="shared" si="13"/>
        <v/>
      </c>
      <c r="D61" s="35" t="e">
        <f t="shared" si="29"/>
        <v>#VALUE!</v>
      </c>
      <c r="E61" s="35">
        <f t="shared" si="15"/>
        <v>0</v>
      </c>
      <c r="F61" s="35">
        <f t="shared" si="16"/>
        <v>0</v>
      </c>
      <c r="G61" s="35" t="e">
        <f t="shared" si="30"/>
        <v>#VALUE!</v>
      </c>
      <c r="H61" s="35" t="e">
        <f t="shared" si="22"/>
        <v>#VALUE!</v>
      </c>
      <c r="I61" s="35" t="e">
        <f t="shared" si="23"/>
        <v>#VALUE!</v>
      </c>
      <c r="J61" s="35">
        <f t="shared" si="24"/>
        <v>0</v>
      </c>
      <c r="K61" s="35">
        <f t="shared" si="31"/>
        <v>0</v>
      </c>
      <c r="L61" s="35" t="e">
        <f t="shared" si="25"/>
        <v>#VALUE!</v>
      </c>
      <c r="M61" s="36" t="e">
        <f t="shared" si="26"/>
        <v>#VALUE!</v>
      </c>
      <c r="N61" s="35" t="e">
        <f t="shared" si="27"/>
        <v>#VALUE!</v>
      </c>
      <c r="O61" s="35" t="e">
        <f t="shared" si="17"/>
        <v>#VALUE!</v>
      </c>
      <c r="P61" s="35" t="e">
        <f t="shared" si="9"/>
        <v>#VALUE!</v>
      </c>
      <c r="Q61" s="35">
        <f t="shared" si="10"/>
        <v>0</v>
      </c>
      <c r="R61" s="35">
        <f t="shared" si="18"/>
        <v>0</v>
      </c>
      <c r="S61" s="35" t="e">
        <f t="shared" si="19"/>
        <v>#VALUE!</v>
      </c>
      <c r="T61" s="35" t="e">
        <f t="shared" si="28"/>
        <v>#VALUE!</v>
      </c>
      <c r="U61" s="35" t="e">
        <f t="shared" si="20"/>
        <v>#VALUE!</v>
      </c>
      <c r="V61" s="35" t="e">
        <f t="shared" si="21"/>
        <v>#VALUE!</v>
      </c>
      <c r="W61" s="35" t="e">
        <f t="shared" si="12"/>
        <v>#VALUE!</v>
      </c>
    </row>
    <row r="62" spans="3:23" x14ac:dyDescent="0.25">
      <c r="C62" s="34" t="str">
        <f t="shared" si="13"/>
        <v/>
      </c>
      <c r="D62" s="35" t="e">
        <f t="shared" si="29"/>
        <v>#VALUE!</v>
      </c>
      <c r="E62" s="35">
        <f t="shared" si="15"/>
        <v>0</v>
      </c>
      <c r="F62" s="35">
        <f t="shared" si="16"/>
        <v>0</v>
      </c>
      <c r="G62" s="35" t="e">
        <f t="shared" si="30"/>
        <v>#VALUE!</v>
      </c>
      <c r="H62" s="35" t="e">
        <f t="shared" si="22"/>
        <v>#VALUE!</v>
      </c>
      <c r="I62" s="35" t="e">
        <f t="shared" si="23"/>
        <v>#VALUE!</v>
      </c>
      <c r="J62" s="35">
        <f t="shared" si="24"/>
        <v>0</v>
      </c>
      <c r="K62" s="35">
        <f t="shared" si="31"/>
        <v>0</v>
      </c>
      <c r="L62" s="35" t="e">
        <f t="shared" si="25"/>
        <v>#VALUE!</v>
      </c>
      <c r="M62" s="36" t="e">
        <f t="shared" si="26"/>
        <v>#VALUE!</v>
      </c>
      <c r="N62" s="35" t="e">
        <f t="shared" si="27"/>
        <v>#VALUE!</v>
      </c>
      <c r="O62" s="35" t="e">
        <f t="shared" si="17"/>
        <v>#VALUE!</v>
      </c>
      <c r="P62" s="35" t="e">
        <f t="shared" si="9"/>
        <v>#VALUE!</v>
      </c>
      <c r="Q62" s="35">
        <f t="shared" si="10"/>
        <v>0</v>
      </c>
      <c r="R62" s="35">
        <f t="shared" si="18"/>
        <v>0</v>
      </c>
      <c r="S62" s="35" t="e">
        <f t="shared" si="19"/>
        <v>#VALUE!</v>
      </c>
      <c r="T62" s="35" t="e">
        <f t="shared" si="28"/>
        <v>#VALUE!</v>
      </c>
      <c r="U62" s="35" t="e">
        <f t="shared" si="20"/>
        <v>#VALUE!</v>
      </c>
      <c r="V62" s="35" t="e">
        <f t="shared" si="21"/>
        <v>#VALUE!</v>
      </c>
      <c r="W62" s="35" t="e">
        <f t="shared" si="12"/>
        <v>#VALUE!</v>
      </c>
    </row>
    <row r="63" spans="3:23" x14ac:dyDescent="0.25">
      <c r="C63" s="34" t="str">
        <f t="shared" si="13"/>
        <v/>
      </c>
      <c r="D63" s="35" t="e">
        <f t="shared" si="29"/>
        <v>#VALUE!</v>
      </c>
      <c r="E63" s="35">
        <f t="shared" si="15"/>
        <v>0</v>
      </c>
      <c r="F63" s="35">
        <f t="shared" si="16"/>
        <v>0</v>
      </c>
      <c r="G63" s="35" t="e">
        <f t="shared" si="30"/>
        <v>#VALUE!</v>
      </c>
      <c r="H63" s="35" t="e">
        <f t="shared" si="22"/>
        <v>#VALUE!</v>
      </c>
      <c r="I63" s="35" t="e">
        <f t="shared" si="23"/>
        <v>#VALUE!</v>
      </c>
      <c r="J63" s="35">
        <f t="shared" si="24"/>
        <v>0</v>
      </c>
      <c r="K63" s="35">
        <f t="shared" si="31"/>
        <v>0</v>
      </c>
      <c r="L63" s="35" t="e">
        <f t="shared" si="25"/>
        <v>#VALUE!</v>
      </c>
      <c r="M63" s="36" t="e">
        <f t="shared" si="26"/>
        <v>#VALUE!</v>
      </c>
      <c r="N63" s="35" t="e">
        <f t="shared" si="27"/>
        <v>#VALUE!</v>
      </c>
      <c r="O63" s="35" t="e">
        <f t="shared" si="17"/>
        <v>#VALUE!</v>
      </c>
      <c r="P63" s="35" t="e">
        <f t="shared" si="9"/>
        <v>#VALUE!</v>
      </c>
      <c r="Q63" s="35">
        <f t="shared" si="10"/>
        <v>0</v>
      </c>
      <c r="R63" s="35">
        <f t="shared" si="18"/>
        <v>0</v>
      </c>
      <c r="S63" s="35" t="e">
        <f t="shared" si="19"/>
        <v>#VALUE!</v>
      </c>
      <c r="T63" s="35" t="e">
        <f t="shared" si="28"/>
        <v>#VALUE!</v>
      </c>
      <c r="U63" s="35" t="e">
        <f t="shared" si="20"/>
        <v>#VALUE!</v>
      </c>
      <c r="V63" s="35" t="e">
        <f t="shared" si="21"/>
        <v>#VALUE!</v>
      </c>
      <c r="W63" s="35" t="e">
        <f t="shared" si="12"/>
        <v>#VALUE!</v>
      </c>
    </row>
    <row r="64" spans="3:23" x14ac:dyDescent="0.25">
      <c r="C64" s="34" t="str">
        <f t="shared" si="13"/>
        <v/>
      </c>
      <c r="D64" s="35" t="e">
        <f t="shared" si="29"/>
        <v>#VALUE!</v>
      </c>
      <c r="E64" s="35">
        <f t="shared" si="15"/>
        <v>0</v>
      </c>
      <c r="F64" s="35">
        <f t="shared" si="16"/>
        <v>0</v>
      </c>
      <c r="G64" s="35" t="e">
        <f t="shared" si="30"/>
        <v>#VALUE!</v>
      </c>
      <c r="H64" s="35" t="e">
        <f t="shared" si="22"/>
        <v>#VALUE!</v>
      </c>
      <c r="I64" s="35" t="e">
        <f t="shared" si="23"/>
        <v>#VALUE!</v>
      </c>
      <c r="J64" s="35">
        <f t="shared" si="24"/>
        <v>0</v>
      </c>
      <c r="K64" s="35">
        <f t="shared" si="31"/>
        <v>0</v>
      </c>
      <c r="L64" s="35" t="e">
        <f t="shared" si="25"/>
        <v>#VALUE!</v>
      </c>
      <c r="M64" s="36" t="e">
        <f t="shared" si="26"/>
        <v>#VALUE!</v>
      </c>
      <c r="N64" s="35" t="e">
        <f t="shared" si="27"/>
        <v>#VALUE!</v>
      </c>
      <c r="O64" s="35" t="e">
        <f t="shared" si="17"/>
        <v>#VALUE!</v>
      </c>
      <c r="P64" s="35" t="e">
        <f t="shared" si="9"/>
        <v>#VALUE!</v>
      </c>
      <c r="Q64" s="35">
        <f t="shared" si="10"/>
        <v>0</v>
      </c>
      <c r="R64" s="35">
        <f t="shared" si="18"/>
        <v>0</v>
      </c>
      <c r="S64" s="35" t="e">
        <f t="shared" si="19"/>
        <v>#VALUE!</v>
      </c>
      <c r="T64" s="35" t="e">
        <f t="shared" si="28"/>
        <v>#VALUE!</v>
      </c>
      <c r="U64" s="35" t="e">
        <f t="shared" si="20"/>
        <v>#VALUE!</v>
      </c>
      <c r="V64" s="35" t="e">
        <f t="shared" si="21"/>
        <v>#VALUE!</v>
      </c>
      <c r="W64" s="35" t="e">
        <f t="shared" si="12"/>
        <v>#VALUE!</v>
      </c>
    </row>
    <row r="65" spans="3:23" x14ac:dyDescent="0.25">
      <c r="C65" s="34" t="str">
        <f t="shared" si="13"/>
        <v/>
      </c>
      <c r="D65" s="35" t="e">
        <f t="shared" si="29"/>
        <v>#VALUE!</v>
      </c>
      <c r="E65" s="35">
        <f t="shared" si="15"/>
        <v>0</v>
      </c>
      <c r="F65" s="35">
        <f t="shared" si="16"/>
        <v>0</v>
      </c>
      <c r="G65" s="35" t="e">
        <f t="shared" si="30"/>
        <v>#VALUE!</v>
      </c>
      <c r="H65" s="35" t="e">
        <f t="shared" si="22"/>
        <v>#VALUE!</v>
      </c>
      <c r="I65" s="35" t="e">
        <f t="shared" si="23"/>
        <v>#VALUE!</v>
      </c>
      <c r="J65" s="35">
        <f t="shared" si="24"/>
        <v>0</v>
      </c>
      <c r="K65" s="35">
        <f t="shared" si="31"/>
        <v>0</v>
      </c>
      <c r="L65" s="35" t="e">
        <f t="shared" si="25"/>
        <v>#VALUE!</v>
      </c>
      <c r="M65" s="36" t="e">
        <f t="shared" si="26"/>
        <v>#VALUE!</v>
      </c>
      <c r="N65" s="35" t="e">
        <f t="shared" si="27"/>
        <v>#VALUE!</v>
      </c>
      <c r="O65" s="35" t="e">
        <f t="shared" si="17"/>
        <v>#VALUE!</v>
      </c>
      <c r="P65" s="35" t="e">
        <f t="shared" si="9"/>
        <v>#VALUE!</v>
      </c>
      <c r="Q65" s="35">
        <f t="shared" si="10"/>
        <v>0</v>
      </c>
      <c r="R65" s="35">
        <f t="shared" si="18"/>
        <v>0</v>
      </c>
      <c r="S65" s="35" t="e">
        <f t="shared" si="19"/>
        <v>#VALUE!</v>
      </c>
      <c r="T65" s="35" t="e">
        <f t="shared" si="28"/>
        <v>#VALUE!</v>
      </c>
      <c r="U65" s="35" t="e">
        <f t="shared" si="20"/>
        <v>#VALUE!</v>
      </c>
      <c r="V65" s="35" t="e">
        <f t="shared" si="21"/>
        <v>#VALUE!</v>
      </c>
      <c r="W65" s="35" t="e">
        <f t="shared" si="12"/>
        <v>#VALUE!</v>
      </c>
    </row>
    <row r="66" spans="3:23" x14ac:dyDescent="0.25">
      <c r="C66" s="34" t="str">
        <f t="shared" si="13"/>
        <v/>
      </c>
      <c r="D66" s="35" t="e">
        <f t="shared" si="29"/>
        <v>#VALUE!</v>
      </c>
      <c r="E66" s="35">
        <f t="shared" si="15"/>
        <v>0</v>
      </c>
      <c r="F66" s="35">
        <f t="shared" si="16"/>
        <v>0</v>
      </c>
      <c r="G66" s="35" t="e">
        <f t="shared" si="30"/>
        <v>#VALUE!</v>
      </c>
      <c r="H66" s="35" t="e">
        <f t="shared" si="22"/>
        <v>#VALUE!</v>
      </c>
      <c r="I66" s="35" t="e">
        <f t="shared" si="23"/>
        <v>#VALUE!</v>
      </c>
      <c r="J66" s="35">
        <f t="shared" si="24"/>
        <v>0</v>
      </c>
      <c r="K66" s="35">
        <f t="shared" si="31"/>
        <v>0</v>
      </c>
      <c r="L66" s="35" t="e">
        <f t="shared" si="25"/>
        <v>#VALUE!</v>
      </c>
      <c r="M66" s="36" t="e">
        <f t="shared" si="26"/>
        <v>#VALUE!</v>
      </c>
      <c r="N66" s="35" t="e">
        <f t="shared" si="27"/>
        <v>#VALUE!</v>
      </c>
      <c r="O66" s="35" t="e">
        <f t="shared" si="17"/>
        <v>#VALUE!</v>
      </c>
      <c r="P66" s="35" t="e">
        <f t="shared" si="9"/>
        <v>#VALUE!</v>
      </c>
      <c r="Q66" s="35">
        <f t="shared" si="10"/>
        <v>0</v>
      </c>
      <c r="R66" s="35">
        <f t="shared" si="18"/>
        <v>0</v>
      </c>
      <c r="S66" s="35" t="e">
        <f t="shared" si="19"/>
        <v>#VALUE!</v>
      </c>
      <c r="T66" s="35" t="e">
        <f t="shared" si="28"/>
        <v>#VALUE!</v>
      </c>
      <c r="U66" s="35" t="e">
        <f t="shared" si="20"/>
        <v>#VALUE!</v>
      </c>
      <c r="V66" s="35" t="e">
        <f t="shared" si="21"/>
        <v>#VALUE!</v>
      </c>
      <c r="W66" s="35" t="e">
        <f t="shared" si="12"/>
        <v>#VALUE!</v>
      </c>
    </row>
    <row r="67" spans="3:23" x14ac:dyDescent="0.25">
      <c r="C67" s="34" t="str">
        <f t="shared" si="13"/>
        <v/>
      </c>
      <c r="D67" s="35" t="e">
        <f t="shared" si="29"/>
        <v>#VALUE!</v>
      </c>
      <c r="E67" s="35">
        <f t="shared" si="15"/>
        <v>0</v>
      </c>
      <c r="F67" s="35">
        <f t="shared" si="16"/>
        <v>0</v>
      </c>
      <c r="G67" s="35" t="e">
        <f t="shared" si="30"/>
        <v>#VALUE!</v>
      </c>
      <c r="H67" s="35" t="e">
        <f t="shared" si="22"/>
        <v>#VALUE!</v>
      </c>
      <c r="I67" s="35" t="e">
        <f t="shared" si="23"/>
        <v>#VALUE!</v>
      </c>
      <c r="J67" s="35">
        <f t="shared" si="24"/>
        <v>0</v>
      </c>
      <c r="K67" s="35">
        <f t="shared" si="31"/>
        <v>0</v>
      </c>
      <c r="L67" s="35" t="e">
        <f t="shared" si="25"/>
        <v>#VALUE!</v>
      </c>
      <c r="M67" s="36" t="e">
        <f t="shared" si="26"/>
        <v>#VALUE!</v>
      </c>
      <c r="N67" s="35" t="e">
        <f t="shared" si="27"/>
        <v>#VALUE!</v>
      </c>
      <c r="O67" s="35" t="e">
        <f t="shared" si="17"/>
        <v>#VALUE!</v>
      </c>
      <c r="P67" s="35" t="e">
        <f t="shared" si="9"/>
        <v>#VALUE!</v>
      </c>
      <c r="Q67" s="35">
        <f t="shared" si="10"/>
        <v>0</v>
      </c>
      <c r="R67" s="35">
        <f t="shared" si="18"/>
        <v>0</v>
      </c>
      <c r="S67" s="35" t="e">
        <f t="shared" si="19"/>
        <v>#VALUE!</v>
      </c>
      <c r="T67" s="35" t="e">
        <f t="shared" si="28"/>
        <v>#VALUE!</v>
      </c>
      <c r="U67" s="35" t="e">
        <f t="shared" si="20"/>
        <v>#VALUE!</v>
      </c>
      <c r="V67" s="35" t="e">
        <f t="shared" si="21"/>
        <v>#VALUE!</v>
      </c>
      <c r="W67" s="35" t="e">
        <f t="shared" si="12"/>
        <v>#VALUE!</v>
      </c>
    </row>
    <row r="68" spans="3:23" x14ac:dyDescent="0.25">
      <c r="C68" s="34" t="str">
        <f t="shared" si="13"/>
        <v/>
      </c>
      <c r="D68" s="35" t="e">
        <f t="shared" si="29"/>
        <v>#VALUE!</v>
      </c>
      <c r="E68" s="35">
        <f t="shared" si="15"/>
        <v>0</v>
      </c>
      <c r="F68" s="35">
        <f t="shared" si="16"/>
        <v>0</v>
      </c>
      <c r="G68" s="35" t="e">
        <f t="shared" si="30"/>
        <v>#VALUE!</v>
      </c>
      <c r="H68" s="35" t="e">
        <f t="shared" si="22"/>
        <v>#VALUE!</v>
      </c>
      <c r="I68" s="35" t="e">
        <f t="shared" si="23"/>
        <v>#VALUE!</v>
      </c>
      <c r="J68" s="35">
        <f t="shared" si="24"/>
        <v>0</v>
      </c>
      <c r="K68" s="35">
        <f t="shared" si="31"/>
        <v>0</v>
      </c>
      <c r="L68" s="35" t="e">
        <f t="shared" si="25"/>
        <v>#VALUE!</v>
      </c>
      <c r="M68" s="36" t="e">
        <f t="shared" si="26"/>
        <v>#VALUE!</v>
      </c>
      <c r="N68" s="35" t="e">
        <f t="shared" si="27"/>
        <v>#VALUE!</v>
      </c>
      <c r="O68" s="35" t="e">
        <f t="shared" si="17"/>
        <v>#VALUE!</v>
      </c>
      <c r="P68" s="35" t="e">
        <f t="shared" si="9"/>
        <v>#VALUE!</v>
      </c>
      <c r="Q68" s="35">
        <f t="shared" si="10"/>
        <v>0</v>
      </c>
      <c r="R68" s="35">
        <f t="shared" si="18"/>
        <v>0</v>
      </c>
      <c r="S68" s="35" t="e">
        <f t="shared" si="19"/>
        <v>#VALUE!</v>
      </c>
      <c r="T68" s="35" t="e">
        <f t="shared" si="28"/>
        <v>#VALUE!</v>
      </c>
      <c r="U68" s="35" t="e">
        <f t="shared" si="20"/>
        <v>#VALUE!</v>
      </c>
      <c r="V68" s="35" t="e">
        <f t="shared" si="21"/>
        <v>#VALUE!</v>
      </c>
      <c r="W68" s="35" t="e">
        <f t="shared" si="12"/>
        <v>#VALUE!</v>
      </c>
    </row>
    <row r="69" spans="3:23" x14ac:dyDescent="0.25">
      <c r="C69" s="34" t="str">
        <f t="shared" si="13"/>
        <v/>
      </c>
      <c r="D69" s="35" t="e">
        <f t="shared" si="29"/>
        <v>#VALUE!</v>
      </c>
      <c r="E69" s="35">
        <f t="shared" si="15"/>
        <v>0</v>
      </c>
      <c r="F69" s="35">
        <f t="shared" si="16"/>
        <v>0</v>
      </c>
      <c r="G69" s="35" t="e">
        <f t="shared" si="30"/>
        <v>#VALUE!</v>
      </c>
      <c r="H69" s="35" t="e">
        <f t="shared" si="22"/>
        <v>#VALUE!</v>
      </c>
      <c r="I69" s="35" t="e">
        <f t="shared" si="23"/>
        <v>#VALUE!</v>
      </c>
      <c r="J69" s="35">
        <f t="shared" si="24"/>
        <v>0</v>
      </c>
      <c r="K69" s="35">
        <f t="shared" si="31"/>
        <v>0</v>
      </c>
      <c r="L69" s="35" t="e">
        <f t="shared" si="25"/>
        <v>#VALUE!</v>
      </c>
      <c r="M69" s="36" t="e">
        <f t="shared" si="26"/>
        <v>#VALUE!</v>
      </c>
      <c r="N69" s="35" t="e">
        <f t="shared" si="27"/>
        <v>#VALUE!</v>
      </c>
      <c r="O69" s="35" t="e">
        <f t="shared" si="17"/>
        <v>#VALUE!</v>
      </c>
      <c r="P69" s="35" t="e">
        <f t="shared" si="9"/>
        <v>#VALUE!</v>
      </c>
      <c r="Q69" s="35">
        <f t="shared" si="10"/>
        <v>0</v>
      </c>
      <c r="R69" s="35">
        <f t="shared" si="18"/>
        <v>0</v>
      </c>
      <c r="S69" s="35" t="e">
        <f t="shared" si="19"/>
        <v>#VALUE!</v>
      </c>
      <c r="T69" s="35" t="e">
        <f t="shared" si="28"/>
        <v>#VALUE!</v>
      </c>
      <c r="U69" s="35" t="e">
        <f t="shared" si="20"/>
        <v>#VALUE!</v>
      </c>
      <c r="V69" s="35" t="e">
        <f t="shared" si="21"/>
        <v>#VALUE!</v>
      </c>
      <c r="W69" s="35" t="e">
        <f t="shared" si="12"/>
        <v>#VALUE!</v>
      </c>
    </row>
    <row r="70" spans="3:23" x14ac:dyDescent="0.25">
      <c r="C70" s="34" t="str">
        <f t="shared" si="13"/>
        <v/>
      </c>
      <c r="D70" s="35" t="e">
        <f t="shared" si="29"/>
        <v>#VALUE!</v>
      </c>
      <c r="E70" s="35">
        <f t="shared" si="15"/>
        <v>0</v>
      </c>
      <c r="F70" s="35">
        <f t="shared" si="16"/>
        <v>0</v>
      </c>
      <c r="G70" s="35" t="e">
        <f t="shared" si="30"/>
        <v>#VALUE!</v>
      </c>
      <c r="H70" s="35" t="e">
        <f t="shared" si="22"/>
        <v>#VALUE!</v>
      </c>
      <c r="I70" s="35" t="e">
        <f t="shared" si="23"/>
        <v>#VALUE!</v>
      </c>
      <c r="J70" s="35">
        <f t="shared" si="24"/>
        <v>0</v>
      </c>
      <c r="K70" s="35">
        <f t="shared" si="31"/>
        <v>0</v>
      </c>
      <c r="L70" s="35" t="e">
        <f t="shared" si="25"/>
        <v>#VALUE!</v>
      </c>
      <c r="M70" s="36" t="e">
        <f t="shared" si="26"/>
        <v>#VALUE!</v>
      </c>
      <c r="N70" s="35" t="e">
        <f t="shared" si="27"/>
        <v>#VALUE!</v>
      </c>
      <c r="O70" s="35" t="e">
        <f t="shared" si="17"/>
        <v>#VALUE!</v>
      </c>
      <c r="P70" s="35" t="e">
        <f t="shared" si="9"/>
        <v>#VALUE!</v>
      </c>
      <c r="Q70" s="35">
        <f t="shared" si="10"/>
        <v>0</v>
      </c>
      <c r="R70" s="35">
        <f t="shared" si="18"/>
        <v>0</v>
      </c>
      <c r="S70" s="35" t="e">
        <f t="shared" si="19"/>
        <v>#VALUE!</v>
      </c>
      <c r="T70" s="35" t="e">
        <f t="shared" si="28"/>
        <v>#VALUE!</v>
      </c>
      <c r="U70" s="35" t="e">
        <f t="shared" si="20"/>
        <v>#VALUE!</v>
      </c>
      <c r="V70" s="35" t="e">
        <f t="shared" si="21"/>
        <v>#VALUE!</v>
      </c>
      <c r="W70" s="35" t="e">
        <f t="shared" si="12"/>
        <v>#VALUE!</v>
      </c>
    </row>
    <row r="71" spans="3:23" x14ac:dyDescent="0.25">
      <c r="C71" s="34" t="str">
        <f t="shared" si="13"/>
        <v/>
      </c>
      <c r="D71" s="35" t="e">
        <f t="shared" si="29"/>
        <v>#VALUE!</v>
      </c>
      <c r="E71" s="35">
        <f t="shared" si="15"/>
        <v>0</v>
      </c>
      <c r="F71" s="35">
        <f t="shared" si="16"/>
        <v>0</v>
      </c>
      <c r="G71" s="35" t="e">
        <f t="shared" si="30"/>
        <v>#VALUE!</v>
      </c>
      <c r="H71" s="35" t="e">
        <f t="shared" si="22"/>
        <v>#VALUE!</v>
      </c>
      <c r="I71" s="35" t="e">
        <f t="shared" si="23"/>
        <v>#VALUE!</v>
      </c>
      <c r="J71" s="35">
        <f t="shared" si="24"/>
        <v>0</v>
      </c>
      <c r="K71" s="35">
        <f t="shared" si="31"/>
        <v>0</v>
      </c>
      <c r="L71" s="35" t="e">
        <f t="shared" si="25"/>
        <v>#VALUE!</v>
      </c>
      <c r="M71" s="36" t="e">
        <f t="shared" si="26"/>
        <v>#VALUE!</v>
      </c>
      <c r="N71" s="35" t="e">
        <f t="shared" si="27"/>
        <v>#VALUE!</v>
      </c>
      <c r="O71" s="35" t="e">
        <f t="shared" si="17"/>
        <v>#VALUE!</v>
      </c>
      <c r="P71" s="35" t="e">
        <f t="shared" si="9"/>
        <v>#VALUE!</v>
      </c>
      <c r="Q71" s="35">
        <f t="shared" si="10"/>
        <v>0</v>
      </c>
      <c r="R71" s="35">
        <f t="shared" si="18"/>
        <v>0</v>
      </c>
      <c r="S71" s="35" t="e">
        <f t="shared" si="19"/>
        <v>#VALUE!</v>
      </c>
      <c r="T71" s="35" t="e">
        <f t="shared" si="28"/>
        <v>#VALUE!</v>
      </c>
      <c r="U71" s="35" t="e">
        <f t="shared" si="20"/>
        <v>#VALUE!</v>
      </c>
      <c r="V71" s="35" t="e">
        <f t="shared" si="21"/>
        <v>#VALUE!</v>
      </c>
      <c r="W71" s="35" t="e">
        <f t="shared" si="12"/>
        <v>#VALUE!</v>
      </c>
    </row>
    <row r="72" spans="3:23" x14ac:dyDescent="0.25">
      <c r="C72" s="34" t="str">
        <f t="shared" si="13"/>
        <v/>
      </c>
      <c r="D72" s="35" t="e">
        <f t="shared" si="29"/>
        <v>#VALUE!</v>
      </c>
      <c r="E72" s="35">
        <f t="shared" si="15"/>
        <v>0</v>
      </c>
      <c r="F72" s="35">
        <f t="shared" si="16"/>
        <v>0</v>
      </c>
      <c r="G72" s="35" t="e">
        <f t="shared" si="30"/>
        <v>#VALUE!</v>
      </c>
      <c r="H72" s="35" t="e">
        <f t="shared" ref="H72:H103" si="32">growth_rate*D72</f>
        <v>#VALUE!</v>
      </c>
      <c r="I72" s="35" t="e">
        <f t="shared" ref="I72:I103" si="33">dividend*D72</f>
        <v>#VALUE!</v>
      </c>
      <c r="J72" s="35">
        <f t="shared" ref="J72:J103" si="34">coupon/bonds_par*E72</f>
        <v>0</v>
      </c>
      <c r="K72" s="35">
        <f t="shared" si="31"/>
        <v>0</v>
      </c>
      <c r="L72" s="35" t="e">
        <f t="shared" ref="L72:L103" si="35">cash_yield*G72</f>
        <v>#VALUE!</v>
      </c>
      <c r="M72" s="36" t="e">
        <f t="shared" ref="M72:M103" si="36">IF(YEAR(C72) &lt; regime_change, "OLD", "NEW")</f>
        <v>#VALUE!</v>
      </c>
      <c r="N72" s="35" t="e">
        <f t="shared" ref="N72:N103" si="37">IF(M72="OLD", (D72+E72+F72-b3_current_franchise)*b3_fiction+G72*b3_cash_fiction, (SUM(H72:L72)-b3_future_franchise))</f>
        <v>#VALUE!</v>
      </c>
      <c r="O72" s="35" t="e">
        <f t="shared" si="17"/>
        <v>#VALUE!</v>
      </c>
      <c r="P72" s="35" t="e">
        <f t="shared" si="9"/>
        <v>#VALUE!</v>
      </c>
      <c r="Q72" s="35">
        <f t="shared" si="10"/>
        <v>0</v>
      </c>
      <c r="R72" s="35">
        <f t="shared" si="18"/>
        <v>0</v>
      </c>
      <c r="S72" s="35" t="e">
        <f t="shared" si="19"/>
        <v>#VALUE!</v>
      </c>
      <c r="T72" s="35" t="e">
        <f t="shared" ref="T72:T103" si="38">IF(YEAR(C72)&lt; YEAR(draw_down_date), 0, IF(YEAR(C72) = YEAR(draw_down_date), draw_down, T71*(1+inflation)))</f>
        <v>#VALUE!</v>
      </c>
      <c r="U72" s="35" t="e">
        <f t="shared" si="20"/>
        <v>#VALUE!</v>
      </c>
      <c r="V72" s="35" t="e">
        <f t="shared" si="21"/>
        <v>#VALUE!</v>
      </c>
      <c r="W72" s="35" t="e">
        <f t="shared" si="12"/>
        <v>#VALUE!</v>
      </c>
    </row>
    <row r="73" spans="3:23" x14ac:dyDescent="0.25">
      <c r="C73" s="34" t="str">
        <f t="shared" si="13"/>
        <v/>
      </c>
      <c r="D73" s="35" t="e">
        <f t="shared" ref="D73:D109" si="39">D72+H72+IF(V72&gt;0, V72*reinvestment_mix, 0)</f>
        <v>#VALUE!</v>
      </c>
      <c r="E73" s="35">
        <f t="shared" si="15"/>
        <v>0</v>
      </c>
      <c r="F73" s="35">
        <f t="shared" si="16"/>
        <v>0</v>
      </c>
      <c r="G73" s="35" t="e">
        <f t="shared" ref="G73:G109" si="40">IF(V72&lt;0, G72+V72, G72+V72*(1-reinvestment_mix))</f>
        <v>#VALUE!</v>
      </c>
      <c r="H73" s="35" t="e">
        <f t="shared" si="32"/>
        <v>#VALUE!</v>
      </c>
      <c r="I73" s="35" t="e">
        <f t="shared" si="33"/>
        <v>#VALUE!</v>
      </c>
      <c r="J73" s="35">
        <f t="shared" si="34"/>
        <v>0</v>
      </c>
      <c r="K73" s="35">
        <f t="shared" ref="K73:K109" si="41">K72*(1+inflation)</f>
        <v>0</v>
      </c>
      <c r="L73" s="35" t="e">
        <f t="shared" si="35"/>
        <v>#VALUE!</v>
      </c>
      <c r="M73" s="36" t="e">
        <f t="shared" si="36"/>
        <v>#VALUE!</v>
      </c>
      <c r="N73" s="35" t="e">
        <f t="shared" si="37"/>
        <v>#VALUE!</v>
      </c>
      <c r="O73" s="35" t="e">
        <f t="shared" si="17"/>
        <v>#VALUE!</v>
      </c>
      <c r="P73" s="35" t="e">
        <f t="shared" ref="P73:P109" si="42">I73</f>
        <v>#VALUE!</v>
      </c>
      <c r="Q73" s="35">
        <f t="shared" ref="Q73:Q109" si="43">J73</f>
        <v>0</v>
      </c>
      <c r="R73" s="35">
        <f t="shared" si="18"/>
        <v>0</v>
      </c>
      <c r="S73" s="35" t="e">
        <f t="shared" si="19"/>
        <v>#VALUE!</v>
      </c>
      <c r="T73" s="35" t="e">
        <f t="shared" si="38"/>
        <v>#VALUE!</v>
      </c>
      <c r="U73" s="35" t="e">
        <f t="shared" si="20"/>
        <v>#VALUE!</v>
      </c>
      <c r="V73" s="35" t="e">
        <f t="shared" si="21"/>
        <v>#VALUE!</v>
      </c>
      <c r="W73" s="35" t="e">
        <f t="shared" ref="W73:W109" si="44">D73+E73+F73+G73+H73+I73+J73+K73+L73-O73-T73</f>
        <v>#VALUE!</v>
      </c>
    </row>
    <row r="74" spans="3:23" x14ac:dyDescent="0.25">
      <c r="C74" s="34" t="str">
        <f t="shared" ref="C74:C109" si="45">IF(ROW(C73)-ROW($C$8) &lt;= hoelang, DATE(YEAR(C73)+1,1,1), "")</f>
        <v/>
      </c>
      <c r="D74" s="35" t="e">
        <f t="shared" si="39"/>
        <v>#VALUE!</v>
      </c>
      <c r="E74" s="35">
        <f t="shared" ref="E74:E109" si="46">E73</f>
        <v>0</v>
      </c>
      <c r="F74" s="35">
        <f t="shared" ref="F74:F109" si="47">F73</f>
        <v>0</v>
      </c>
      <c r="G74" s="35" t="e">
        <f t="shared" si="40"/>
        <v>#VALUE!</v>
      </c>
      <c r="H74" s="35" t="e">
        <f t="shared" si="32"/>
        <v>#VALUE!</v>
      </c>
      <c r="I74" s="35" t="e">
        <f t="shared" si="33"/>
        <v>#VALUE!</v>
      </c>
      <c r="J74" s="35">
        <f t="shared" si="34"/>
        <v>0</v>
      </c>
      <c r="K74" s="35">
        <f t="shared" si="41"/>
        <v>0</v>
      </c>
      <c r="L74" s="35" t="e">
        <f t="shared" si="35"/>
        <v>#VALUE!</v>
      </c>
      <c r="M74" s="36" t="e">
        <f t="shared" si="36"/>
        <v>#VALUE!</v>
      </c>
      <c r="N74" s="35" t="e">
        <f t="shared" si="37"/>
        <v>#VALUE!</v>
      </c>
      <c r="O74" s="35" t="e">
        <f t="shared" ref="O74:O109" si="48">IF(M74="OLD", N74*b3_rate_current, N74*b3_rate_future)</f>
        <v>#VALUE!</v>
      </c>
      <c r="P74" s="35" t="e">
        <f t="shared" si="42"/>
        <v>#VALUE!</v>
      </c>
      <c r="Q74" s="35">
        <f t="shared" si="43"/>
        <v>0</v>
      </c>
      <c r="R74" s="35">
        <f t="shared" ref="R74:R109" si="49">K74</f>
        <v>0</v>
      </c>
      <c r="S74" s="35" t="e">
        <f t="shared" ref="S74:S109" si="50">L74</f>
        <v>#VALUE!</v>
      </c>
      <c r="T74" s="35" t="e">
        <f t="shared" si="38"/>
        <v>#VALUE!</v>
      </c>
      <c r="U74" s="35" t="e">
        <f t="shared" ref="U74:U109" si="51">O74</f>
        <v>#VALUE!</v>
      </c>
      <c r="V74" s="35" t="e">
        <f t="shared" ref="V74:V109" si="52">P74+Q74+R74+S74-T74-U74</f>
        <v>#VALUE!</v>
      </c>
      <c r="W74" s="35" t="e">
        <f t="shared" si="44"/>
        <v>#VALUE!</v>
      </c>
    </row>
    <row r="75" spans="3:23" x14ac:dyDescent="0.25">
      <c r="C75" s="34" t="str">
        <f t="shared" si="45"/>
        <v/>
      </c>
      <c r="D75" s="35" t="e">
        <f t="shared" si="39"/>
        <v>#VALUE!</v>
      </c>
      <c r="E75" s="35">
        <f t="shared" si="46"/>
        <v>0</v>
      </c>
      <c r="F75" s="35">
        <f t="shared" si="47"/>
        <v>0</v>
      </c>
      <c r="G75" s="35" t="e">
        <f t="shared" si="40"/>
        <v>#VALUE!</v>
      </c>
      <c r="H75" s="35" t="e">
        <f t="shared" si="32"/>
        <v>#VALUE!</v>
      </c>
      <c r="I75" s="35" t="e">
        <f t="shared" si="33"/>
        <v>#VALUE!</v>
      </c>
      <c r="J75" s="35">
        <f t="shared" si="34"/>
        <v>0</v>
      </c>
      <c r="K75" s="35">
        <f t="shared" si="41"/>
        <v>0</v>
      </c>
      <c r="L75" s="35" t="e">
        <f t="shared" si="35"/>
        <v>#VALUE!</v>
      </c>
      <c r="M75" s="36" t="e">
        <f t="shared" si="36"/>
        <v>#VALUE!</v>
      </c>
      <c r="N75" s="35" t="e">
        <f t="shared" si="37"/>
        <v>#VALUE!</v>
      </c>
      <c r="O75" s="35" t="e">
        <f t="shared" si="48"/>
        <v>#VALUE!</v>
      </c>
      <c r="P75" s="35" t="e">
        <f t="shared" si="42"/>
        <v>#VALUE!</v>
      </c>
      <c r="Q75" s="35">
        <f t="shared" si="43"/>
        <v>0</v>
      </c>
      <c r="R75" s="35">
        <f t="shared" si="49"/>
        <v>0</v>
      </c>
      <c r="S75" s="35" t="e">
        <f t="shared" si="50"/>
        <v>#VALUE!</v>
      </c>
      <c r="T75" s="35" t="e">
        <f t="shared" si="38"/>
        <v>#VALUE!</v>
      </c>
      <c r="U75" s="35" t="e">
        <f t="shared" si="51"/>
        <v>#VALUE!</v>
      </c>
      <c r="V75" s="35" t="e">
        <f t="shared" si="52"/>
        <v>#VALUE!</v>
      </c>
      <c r="W75" s="35" t="e">
        <f t="shared" si="44"/>
        <v>#VALUE!</v>
      </c>
    </row>
    <row r="76" spans="3:23" x14ac:dyDescent="0.25">
      <c r="C76" s="34" t="str">
        <f t="shared" si="45"/>
        <v/>
      </c>
      <c r="D76" s="35" t="e">
        <f t="shared" si="39"/>
        <v>#VALUE!</v>
      </c>
      <c r="E76" s="35">
        <f t="shared" si="46"/>
        <v>0</v>
      </c>
      <c r="F76" s="35">
        <f t="shared" si="47"/>
        <v>0</v>
      </c>
      <c r="G76" s="35" t="e">
        <f t="shared" si="40"/>
        <v>#VALUE!</v>
      </c>
      <c r="H76" s="35" t="e">
        <f t="shared" si="32"/>
        <v>#VALUE!</v>
      </c>
      <c r="I76" s="35" t="e">
        <f t="shared" si="33"/>
        <v>#VALUE!</v>
      </c>
      <c r="J76" s="35">
        <f t="shared" si="34"/>
        <v>0</v>
      </c>
      <c r="K76" s="35">
        <f t="shared" si="41"/>
        <v>0</v>
      </c>
      <c r="L76" s="35" t="e">
        <f t="shared" si="35"/>
        <v>#VALUE!</v>
      </c>
      <c r="M76" s="36" t="e">
        <f t="shared" si="36"/>
        <v>#VALUE!</v>
      </c>
      <c r="N76" s="35" t="e">
        <f t="shared" si="37"/>
        <v>#VALUE!</v>
      </c>
      <c r="O76" s="35" t="e">
        <f t="shared" si="48"/>
        <v>#VALUE!</v>
      </c>
      <c r="P76" s="35" t="e">
        <f t="shared" si="42"/>
        <v>#VALUE!</v>
      </c>
      <c r="Q76" s="35">
        <f t="shared" si="43"/>
        <v>0</v>
      </c>
      <c r="R76" s="35">
        <f t="shared" si="49"/>
        <v>0</v>
      </c>
      <c r="S76" s="35" t="e">
        <f t="shared" si="50"/>
        <v>#VALUE!</v>
      </c>
      <c r="T76" s="35" t="e">
        <f t="shared" si="38"/>
        <v>#VALUE!</v>
      </c>
      <c r="U76" s="35" t="e">
        <f t="shared" si="51"/>
        <v>#VALUE!</v>
      </c>
      <c r="V76" s="35" t="e">
        <f t="shared" si="52"/>
        <v>#VALUE!</v>
      </c>
      <c r="W76" s="35" t="e">
        <f t="shared" si="44"/>
        <v>#VALUE!</v>
      </c>
    </row>
    <row r="77" spans="3:23" x14ac:dyDescent="0.25">
      <c r="C77" s="34" t="str">
        <f t="shared" si="45"/>
        <v/>
      </c>
      <c r="D77" s="35" t="e">
        <f t="shared" si="39"/>
        <v>#VALUE!</v>
      </c>
      <c r="E77" s="35">
        <f t="shared" si="46"/>
        <v>0</v>
      </c>
      <c r="F77" s="35">
        <f t="shared" si="47"/>
        <v>0</v>
      </c>
      <c r="G77" s="35" t="e">
        <f t="shared" si="40"/>
        <v>#VALUE!</v>
      </c>
      <c r="H77" s="35" t="e">
        <f t="shared" si="32"/>
        <v>#VALUE!</v>
      </c>
      <c r="I77" s="35" t="e">
        <f t="shared" si="33"/>
        <v>#VALUE!</v>
      </c>
      <c r="J77" s="35">
        <f t="shared" si="34"/>
        <v>0</v>
      </c>
      <c r="K77" s="35">
        <f t="shared" si="41"/>
        <v>0</v>
      </c>
      <c r="L77" s="35" t="e">
        <f t="shared" si="35"/>
        <v>#VALUE!</v>
      </c>
      <c r="M77" s="36" t="e">
        <f t="shared" si="36"/>
        <v>#VALUE!</v>
      </c>
      <c r="N77" s="35" t="e">
        <f t="shared" si="37"/>
        <v>#VALUE!</v>
      </c>
      <c r="O77" s="35" t="e">
        <f t="shared" si="48"/>
        <v>#VALUE!</v>
      </c>
      <c r="P77" s="35" t="e">
        <f t="shared" si="42"/>
        <v>#VALUE!</v>
      </c>
      <c r="Q77" s="35">
        <f t="shared" si="43"/>
        <v>0</v>
      </c>
      <c r="R77" s="35">
        <f t="shared" si="49"/>
        <v>0</v>
      </c>
      <c r="S77" s="35" t="e">
        <f t="shared" si="50"/>
        <v>#VALUE!</v>
      </c>
      <c r="T77" s="35" t="e">
        <f t="shared" si="38"/>
        <v>#VALUE!</v>
      </c>
      <c r="U77" s="35" t="e">
        <f t="shared" si="51"/>
        <v>#VALUE!</v>
      </c>
      <c r="V77" s="35" t="e">
        <f t="shared" si="52"/>
        <v>#VALUE!</v>
      </c>
      <c r="W77" s="35" t="e">
        <f t="shared" si="44"/>
        <v>#VALUE!</v>
      </c>
    </row>
    <row r="78" spans="3:23" x14ac:dyDescent="0.25">
      <c r="C78" s="34" t="str">
        <f t="shared" si="45"/>
        <v/>
      </c>
      <c r="D78" s="35" t="e">
        <f t="shared" si="39"/>
        <v>#VALUE!</v>
      </c>
      <c r="E78" s="35">
        <f t="shared" si="46"/>
        <v>0</v>
      </c>
      <c r="F78" s="35">
        <f t="shared" si="47"/>
        <v>0</v>
      </c>
      <c r="G78" s="35" t="e">
        <f t="shared" si="40"/>
        <v>#VALUE!</v>
      </c>
      <c r="H78" s="35" t="e">
        <f t="shared" si="32"/>
        <v>#VALUE!</v>
      </c>
      <c r="I78" s="35" t="e">
        <f t="shared" si="33"/>
        <v>#VALUE!</v>
      </c>
      <c r="J78" s="35">
        <f t="shared" si="34"/>
        <v>0</v>
      </c>
      <c r="K78" s="35">
        <f t="shared" si="41"/>
        <v>0</v>
      </c>
      <c r="L78" s="35" t="e">
        <f t="shared" si="35"/>
        <v>#VALUE!</v>
      </c>
      <c r="M78" s="36" t="e">
        <f t="shared" si="36"/>
        <v>#VALUE!</v>
      </c>
      <c r="N78" s="35" t="e">
        <f t="shared" si="37"/>
        <v>#VALUE!</v>
      </c>
      <c r="O78" s="35" t="e">
        <f t="shared" si="48"/>
        <v>#VALUE!</v>
      </c>
      <c r="P78" s="35" t="e">
        <f t="shared" si="42"/>
        <v>#VALUE!</v>
      </c>
      <c r="Q78" s="35">
        <f t="shared" si="43"/>
        <v>0</v>
      </c>
      <c r="R78" s="35">
        <f t="shared" si="49"/>
        <v>0</v>
      </c>
      <c r="S78" s="35" t="e">
        <f t="shared" si="50"/>
        <v>#VALUE!</v>
      </c>
      <c r="T78" s="35" t="e">
        <f t="shared" si="38"/>
        <v>#VALUE!</v>
      </c>
      <c r="U78" s="35" t="e">
        <f t="shared" si="51"/>
        <v>#VALUE!</v>
      </c>
      <c r="V78" s="35" t="e">
        <f t="shared" si="52"/>
        <v>#VALUE!</v>
      </c>
      <c r="W78" s="35" t="e">
        <f t="shared" si="44"/>
        <v>#VALUE!</v>
      </c>
    </row>
    <row r="79" spans="3:23" x14ac:dyDescent="0.25">
      <c r="C79" s="34" t="str">
        <f t="shared" si="45"/>
        <v/>
      </c>
      <c r="D79" s="35" t="e">
        <f t="shared" si="39"/>
        <v>#VALUE!</v>
      </c>
      <c r="E79" s="35">
        <f t="shared" si="46"/>
        <v>0</v>
      </c>
      <c r="F79" s="35">
        <f t="shared" si="47"/>
        <v>0</v>
      </c>
      <c r="G79" s="35" t="e">
        <f t="shared" si="40"/>
        <v>#VALUE!</v>
      </c>
      <c r="H79" s="35" t="e">
        <f t="shared" si="32"/>
        <v>#VALUE!</v>
      </c>
      <c r="I79" s="35" t="e">
        <f t="shared" si="33"/>
        <v>#VALUE!</v>
      </c>
      <c r="J79" s="35">
        <f t="shared" si="34"/>
        <v>0</v>
      </c>
      <c r="K79" s="35">
        <f t="shared" si="41"/>
        <v>0</v>
      </c>
      <c r="L79" s="35" t="e">
        <f t="shared" si="35"/>
        <v>#VALUE!</v>
      </c>
      <c r="M79" s="36" t="e">
        <f t="shared" si="36"/>
        <v>#VALUE!</v>
      </c>
      <c r="N79" s="35" t="e">
        <f t="shared" si="37"/>
        <v>#VALUE!</v>
      </c>
      <c r="O79" s="35" t="e">
        <f t="shared" si="48"/>
        <v>#VALUE!</v>
      </c>
      <c r="P79" s="35" t="e">
        <f t="shared" si="42"/>
        <v>#VALUE!</v>
      </c>
      <c r="Q79" s="35">
        <f t="shared" si="43"/>
        <v>0</v>
      </c>
      <c r="R79" s="35">
        <f t="shared" si="49"/>
        <v>0</v>
      </c>
      <c r="S79" s="35" t="e">
        <f t="shared" si="50"/>
        <v>#VALUE!</v>
      </c>
      <c r="T79" s="35" t="e">
        <f t="shared" si="38"/>
        <v>#VALUE!</v>
      </c>
      <c r="U79" s="35" t="e">
        <f t="shared" si="51"/>
        <v>#VALUE!</v>
      </c>
      <c r="V79" s="35" t="e">
        <f t="shared" si="52"/>
        <v>#VALUE!</v>
      </c>
      <c r="W79" s="35" t="e">
        <f t="shared" si="44"/>
        <v>#VALUE!</v>
      </c>
    </row>
    <row r="80" spans="3:23" x14ac:dyDescent="0.25">
      <c r="C80" s="34" t="str">
        <f t="shared" si="45"/>
        <v/>
      </c>
      <c r="D80" s="35" t="e">
        <f t="shared" si="39"/>
        <v>#VALUE!</v>
      </c>
      <c r="E80" s="35">
        <f t="shared" si="46"/>
        <v>0</v>
      </c>
      <c r="F80" s="35">
        <f t="shared" si="47"/>
        <v>0</v>
      </c>
      <c r="G80" s="35" t="e">
        <f t="shared" si="40"/>
        <v>#VALUE!</v>
      </c>
      <c r="H80" s="35" t="e">
        <f t="shared" si="32"/>
        <v>#VALUE!</v>
      </c>
      <c r="I80" s="35" t="e">
        <f t="shared" si="33"/>
        <v>#VALUE!</v>
      </c>
      <c r="J80" s="35">
        <f t="shared" si="34"/>
        <v>0</v>
      </c>
      <c r="K80" s="35">
        <f t="shared" si="41"/>
        <v>0</v>
      </c>
      <c r="L80" s="35" t="e">
        <f t="shared" si="35"/>
        <v>#VALUE!</v>
      </c>
      <c r="M80" s="36" t="e">
        <f t="shared" si="36"/>
        <v>#VALUE!</v>
      </c>
      <c r="N80" s="35" t="e">
        <f t="shared" si="37"/>
        <v>#VALUE!</v>
      </c>
      <c r="O80" s="35" t="e">
        <f t="shared" si="48"/>
        <v>#VALUE!</v>
      </c>
      <c r="P80" s="35" t="e">
        <f t="shared" si="42"/>
        <v>#VALUE!</v>
      </c>
      <c r="Q80" s="35">
        <f t="shared" si="43"/>
        <v>0</v>
      </c>
      <c r="R80" s="35">
        <f t="shared" si="49"/>
        <v>0</v>
      </c>
      <c r="S80" s="35" t="e">
        <f t="shared" si="50"/>
        <v>#VALUE!</v>
      </c>
      <c r="T80" s="35" t="e">
        <f t="shared" si="38"/>
        <v>#VALUE!</v>
      </c>
      <c r="U80" s="35" t="e">
        <f t="shared" si="51"/>
        <v>#VALUE!</v>
      </c>
      <c r="V80" s="35" t="e">
        <f t="shared" si="52"/>
        <v>#VALUE!</v>
      </c>
      <c r="W80" s="35" t="e">
        <f t="shared" si="44"/>
        <v>#VALUE!</v>
      </c>
    </row>
    <row r="81" spans="3:23" x14ac:dyDescent="0.25">
      <c r="C81" s="34" t="str">
        <f t="shared" si="45"/>
        <v/>
      </c>
      <c r="D81" s="35" t="e">
        <f t="shared" si="39"/>
        <v>#VALUE!</v>
      </c>
      <c r="E81" s="35">
        <f t="shared" si="46"/>
        <v>0</v>
      </c>
      <c r="F81" s="35">
        <f t="shared" si="47"/>
        <v>0</v>
      </c>
      <c r="G81" s="35" t="e">
        <f t="shared" si="40"/>
        <v>#VALUE!</v>
      </c>
      <c r="H81" s="35" t="e">
        <f t="shared" si="32"/>
        <v>#VALUE!</v>
      </c>
      <c r="I81" s="35" t="e">
        <f t="shared" si="33"/>
        <v>#VALUE!</v>
      </c>
      <c r="J81" s="35">
        <f t="shared" si="34"/>
        <v>0</v>
      </c>
      <c r="K81" s="35">
        <f t="shared" si="41"/>
        <v>0</v>
      </c>
      <c r="L81" s="35" t="e">
        <f t="shared" si="35"/>
        <v>#VALUE!</v>
      </c>
      <c r="M81" s="36" t="e">
        <f t="shared" si="36"/>
        <v>#VALUE!</v>
      </c>
      <c r="N81" s="35" t="e">
        <f t="shared" si="37"/>
        <v>#VALUE!</v>
      </c>
      <c r="O81" s="35" t="e">
        <f t="shared" si="48"/>
        <v>#VALUE!</v>
      </c>
      <c r="P81" s="35" t="e">
        <f t="shared" si="42"/>
        <v>#VALUE!</v>
      </c>
      <c r="Q81" s="35">
        <f t="shared" si="43"/>
        <v>0</v>
      </c>
      <c r="R81" s="35">
        <f t="shared" si="49"/>
        <v>0</v>
      </c>
      <c r="S81" s="35" t="e">
        <f t="shared" si="50"/>
        <v>#VALUE!</v>
      </c>
      <c r="T81" s="35" t="e">
        <f t="shared" si="38"/>
        <v>#VALUE!</v>
      </c>
      <c r="U81" s="35" t="e">
        <f t="shared" si="51"/>
        <v>#VALUE!</v>
      </c>
      <c r="V81" s="35" t="e">
        <f t="shared" si="52"/>
        <v>#VALUE!</v>
      </c>
      <c r="W81" s="35" t="e">
        <f t="shared" si="44"/>
        <v>#VALUE!</v>
      </c>
    </row>
    <row r="82" spans="3:23" x14ac:dyDescent="0.25">
      <c r="C82" s="34" t="str">
        <f t="shared" si="45"/>
        <v/>
      </c>
      <c r="D82" s="35" t="e">
        <f t="shared" si="39"/>
        <v>#VALUE!</v>
      </c>
      <c r="E82" s="35">
        <f t="shared" si="46"/>
        <v>0</v>
      </c>
      <c r="F82" s="35">
        <f t="shared" si="47"/>
        <v>0</v>
      </c>
      <c r="G82" s="35" t="e">
        <f t="shared" si="40"/>
        <v>#VALUE!</v>
      </c>
      <c r="H82" s="35" t="e">
        <f t="shared" si="32"/>
        <v>#VALUE!</v>
      </c>
      <c r="I82" s="35" t="e">
        <f t="shared" si="33"/>
        <v>#VALUE!</v>
      </c>
      <c r="J82" s="35">
        <f t="shared" si="34"/>
        <v>0</v>
      </c>
      <c r="K82" s="35">
        <f t="shared" si="41"/>
        <v>0</v>
      </c>
      <c r="L82" s="35" t="e">
        <f t="shared" si="35"/>
        <v>#VALUE!</v>
      </c>
      <c r="M82" s="36" t="e">
        <f t="shared" si="36"/>
        <v>#VALUE!</v>
      </c>
      <c r="N82" s="35" t="e">
        <f t="shared" si="37"/>
        <v>#VALUE!</v>
      </c>
      <c r="O82" s="35" t="e">
        <f t="shared" si="48"/>
        <v>#VALUE!</v>
      </c>
      <c r="P82" s="35" t="e">
        <f t="shared" si="42"/>
        <v>#VALUE!</v>
      </c>
      <c r="Q82" s="35">
        <f t="shared" si="43"/>
        <v>0</v>
      </c>
      <c r="R82" s="35">
        <f t="shared" si="49"/>
        <v>0</v>
      </c>
      <c r="S82" s="35" t="e">
        <f t="shared" si="50"/>
        <v>#VALUE!</v>
      </c>
      <c r="T82" s="35" t="e">
        <f t="shared" si="38"/>
        <v>#VALUE!</v>
      </c>
      <c r="U82" s="35" t="e">
        <f t="shared" si="51"/>
        <v>#VALUE!</v>
      </c>
      <c r="V82" s="35" t="e">
        <f t="shared" si="52"/>
        <v>#VALUE!</v>
      </c>
      <c r="W82" s="35" t="e">
        <f t="shared" si="44"/>
        <v>#VALUE!</v>
      </c>
    </row>
    <row r="83" spans="3:23" x14ac:dyDescent="0.25">
      <c r="C83" s="34" t="str">
        <f t="shared" si="45"/>
        <v/>
      </c>
      <c r="D83" s="35" t="e">
        <f t="shared" si="39"/>
        <v>#VALUE!</v>
      </c>
      <c r="E83" s="35">
        <f t="shared" si="46"/>
        <v>0</v>
      </c>
      <c r="F83" s="35">
        <f t="shared" si="47"/>
        <v>0</v>
      </c>
      <c r="G83" s="35" t="e">
        <f t="shared" si="40"/>
        <v>#VALUE!</v>
      </c>
      <c r="H83" s="35" t="e">
        <f t="shared" si="32"/>
        <v>#VALUE!</v>
      </c>
      <c r="I83" s="35" t="e">
        <f t="shared" si="33"/>
        <v>#VALUE!</v>
      </c>
      <c r="J83" s="35">
        <f t="shared" si="34"/>
        <v>0</v>
      </c>
      <c r="K83" s="35">
        <f t="shared" si="41"/>
        <v>0</v>
      </c>
      <c r="L83" s="35" t="e">
        <f t="shared" si="35"/>
        <v>#VALUE!</v>
      </c>
      <c r="M83" s="36" t="e">
        <f t="shared" si="36"/>
        <v>#VALUE!</v>
      </c>
      <c r="N83" s="35" t="e">
        <f t="shared" si="37"/>
        <v>#VALUE!</v>
      </c>
      <c r="O83" s="35" t="e">
        <f t="shared" si="48"/>
        <v>#VALUE!</v>
      </c>
      <c r="P83" s="35" t="e">
        <f t="shared" si="42"/>
        <v>#VALUE!</v>
      </c>
      <c r="Q83" s="35">
        <f t="shared" si="43"/>
        <v>0</v>
      </c>
      <c r="R83" s="35">
        <f t="shared" si="49"/>
        <v>0</v>
      </c>
      <c r="S83" s="35" t="e">
        <f t="shared" si="50"/>
        <v>#VALUE!</v>
      </c>
      <c r="T83" s="35" t="e">
        <f t="shared" si="38"/>
        <v>#VALUE!</v>
      </c>
      <c r="U83" s="35" t="e">
        <f t="shared" si="51"/>
        <v>#VALUE!</v>
      </c>
      <c r="V83" s="35" t="e">
        <f t="shared" si="52"/>
        <v>#VALUE!</v>
      </c>
      <c r="W83" s="35" t="e">
        <f t="shared" si="44"/>
        <v>#VALUE!</v>
      </c>
    </row>
    <row r="84" spans="3:23" x14ac:dyDescent="0.25">
      <c r="C84" s="34" t="str">
        <f t="shared" si="45"/>
        <v/>
      </c>
      <c r="D84" s="35" t="e">
        <f t="shared" si="39"/>
        <v>#VALUE!</v>
      </c>
      <c r="E84" s="35">
        <f t="shared" si="46"/>
        <v>0</v>
      </c>
      <c r="F84" s="35">
        <f t="shared" si="47"/>
        <v>0</v>
      </c>
      <c r="G84" s="35" t="e">
        <f t="shared" si="40"/>
        <v>#VALUE!</v>
      </c>
      <c r="H84" s="35" t="e">
        <f t="shared" si="32"/>
        <v>#VALUE!</v>
      </c>
      <c r="I84" s="35" t="e">
        <f t="shared" si="33"/>
        <v>#VALUE!</v>
      </c>
      <c r="J84" s="35">
        <f t="shared" si="34"/>
        <v>0</v>
      </c>
      <c r="K84" s="35">
        <f t="shared" si="41"/>
        <v>0</v>
      </c>
      <c r="L84" s="35" t="e">
        <f t="shared" si="35"/>
        <v>#VALUE!</v>
      </c>
      <c r="M84" s="36" t="e">
        <f t="shared" si="36"/>
        <v>#VALUE!</v>
      </c>
      <c r="N84" s="35" t="e">
        <f t="shared" si="37"/>
        <v>#VALUE!</v>
      </c>
      <c r="O84" s="35" t="e">
        <f t="shared" si="48"/>
        <v>#VALUE!</v>
      </c>
      <c r="P84" s="35" t="e">
        <f t="shared" si="42"/>
        <v>#VALUE!</v>
      </c>
      <c r="Q84" s="35">
        <f t="shared" si="43"/>
        <v>0</v>
      </c>
      <c r="R84" s="35">
        <f t="shared" si="49"/>
        <v>0</v>
      </c>
      <c r="S84" s="35" t="e">
        <f t="shared" si="50"/>
        <v>#VALUE!</v>
      </c>
      <c r="T84" s="35" t="e">
        <f t="shared" si="38"/>
        <v>#VALUE!</v>
      </c>
      <c r="U84" s="35" t="e">
        <f t="shared" si="51"/>
        <v>#VALUE!</v>
      </c>
      <c r="V84" s="35" t="e">
        <f t="shared" si="52"/>
        <v>#VALUE!</v>
      </c>
      <c r="W84" s="35" t="e">
        <f t="shared" si="44"/>
        <v>#VALUE!</v>
      </c>
    </row>
    <row r="85" spans="3:23" x14ac:dyDescent="0.25">
      <c r="C85" s="34" t="str">
        <f t="shared" si="45"/>
        <v/>
      </c>
      <c r="D85" s="35" t="e">
        <f t="shared" si="39"/>
        <v>#VALUE!</v>
      </c>
      <c r="E85" s="35">
        <f t="shared" si="46"/>
        <v>0</v>
      </c>
      <c r="F85" s="35">
        <f t="shared" si="47"/>
        <v>0</v>
      </c>
      <c r="G85" s="35" t="e">
        <f t="shared" si="40"/>
        <v>#VALUE!</v>
      </c>
      <c r="H85" s="35" t="e">
        <f t="shared" si="32"/>
        <v>#VALUE!</v>
      </c>
      <c r="I85" s="35" t="e">
        <f t="shared" si="33"/>
        <v>#VALUE!</v>
      </c>
      <c r="J85" s="35">
        <f t="shared" si="34"/>
        <v>0</v>
      </c>
      <c r="K85" s="35">
        <f t="shared" si="41"/>
        <v>0</v>
      </c>
      <c r="L85" s="35" t="e">
        <f t="shared" si="35"/>
        <v>#VALUE!</v>
      </c>
      <c r="M85" s="36" t="e">
        <f t="shared" si="36"/>
        <v>#VALUE!</v>
      </c>
      <c r="N85" s="35" t="e">
        <f t="shared" si="37"/>
        <v>#VALUE!</v>
      </c>
      <c r="O85" s="35" t="e">
        <f t="shared" si="48"/>
        <v>#VALUE!</v>
      </c>
      <c r="P85" s="35" t="e">
        <f t="shared" si="42"/>
        <v>#VALUE!</v>
      </c>
      <c r="Q85" s="35">
        <f t="shared" si="43"/>
        <v>0</v>
      </c>
      <c r="R85" s="35">
        <f t="shared" si="49"/>
        <v>0</v>
      </c>
      <c r="S85" s="35" t="e">
        <f t="shared" si="50"/>
        <v>#VALUE!</v>
      </c>
      <c r="T85" s="35" t="e">
        <f t="shared" si="38"/>
        <v>#VALUE!</v>
      </c>
      <c r="U85" s="35" t="e">
        <f t="shared" si="51"/>
        <v>#VALUE!</v>
      </c>
      <c r="V85" s="35" t="e">
        <f t="shared" si="52"/>
        <v>#VALUE!</v>
      </c>
      <c r="W85" s="35" t="e">
        <f t="shared" si="44"/>
        <v>#VALUE!</v>
      </c>
    </row>
    <row r="86" spans="3:23" x14ac:dyDescent="0.25">
      <c r="C86" s="34" t="str">
        <f t="shared" si="45"/>
        <v/>
      </c>
      <c r="D86" s="35" t="e">
        <f t="shared" si="39"/>
        <v>#VALUE!</v>
      </c>
      <c r="E86" s="35">
        <f t="shared" si="46"/>
        <v>0</v>
      </c>
      <c r="F86" s="35">
        <f t="shared" si="47"/>
        <v>0</v>
      </c>
      <c r="G86" s="35" t="e">
        <f t="shared" si="40"/>
        <v>#VALUE!</v>
      </c>
      <c r="H86" s="35" t="e">
        <f t="shared" si="32"/>
        <v>#VALUE!</v>
      </c>
      <c r="I86" s="35" t="e">
        <f t="shared" si="33"/>
        <v>#VALUE!</v>
      </c>
      <c r="J86" s="35">
        <f t="shared" si="34"/>
        <v>0</v>
      </c>
      <c r="K86" s="35">
        <f t="shared" si="41"/>
        <v>0</v>
      </c>
      <c r="L86" s="35" t="e">
        <f t="shared" si="35"/>
        <v>#VALUE!</v>
      </c>
      <c r="M86" s="36" t="e">
        <f t="shared" si="36"/>
        <v>#VALUE!</v>
      </c>
      <c r="N86" s="35" t="e">
        <f t="shared" si="37"/>
        <v>#VALUE!</v>
      </c>
      <c r="O86" s="35" t="e">
        <f t="shared" si="48"/>
        <v>#VALUE!</v>
      </c>
      <c r="P86" s="35" t="e">
        <f t="shared" si="42"/>
        <v>#VALUE!</v>
      </c>
      <c r="Q86" s="35">
        <f t="shared" si="43"/>
        <v>0</v>
      </c>
      <c r="R86" s="35">
        <f t="shared" si="49"/>
        <v>0</v>
      </c>
      <c r="S86" s="35" t="e">
        <f t="shared" si="50"/>
        <v>#VALUE!</v>
      </c>
      <c r="T86" s="35" t="e">
        <f t="shared" si="38"/>
        <v>#VALUE!</v>
      </c>
      <c r="U86" s="35" t="e">
        <f t="shared" si="51"/>
        <v>#VALUE!</v>
      </c>
      <c r="V86" s="35" t="e">
        <f t="shared" si="52"/>
        <v>#VALUE!</v>
      </c>
      <c r="W86" s="35" t="e">
        <f t="shared" si="44"/>
        <v>#VALUE!</v>
      </c>
    </row>
    <row r="87" spans="3:23" x14ac:dyDescent="0.25">
      <c r="C87" s="34" t="str">
        <f t="shared" si="45"/>
        <v/>
      </c>
      <c r="D87" s="35" t="e">
        <f t="shared" si="39"/>
        <v>#VALUE!</v>
      </c>
      <c r="E87" s="35">
        <f t="shared" si="46"/>
        <v>0</v>
      </c>
      <c r="F87" s="35">
        <f t="shared" si="47"/>
        <v>0</v>
      </c>
      <c r="G87" s="35" t="e">
        <f t="shared" si="40"/>
        <v>#VALUE!</v>
      </c>
      <c r="H87" s="35" t="e">
        <f t="shared" si="32"/>
        <v>#VALUE!</v>
      </c>
      <c r="I87" s="35" t="e">
        <f t="shared" si="33"/>
        <v>#VALUE!</v>
      </c>
      <c r="J87" s="35">
        <f t="shared" si="34"/>
        <v>0</v>
      </c>
      <c r="K87" s="35">
        <f t="shared" si="41"/>
        <v>0</v>
      </c>
      <c r="L87" s="35" t="e">
        <f t="shared" si="35"/>
        <v>#VALUE!</v>
      </c>
      <c r="M87" s="36" t="e">
        <f t="shared" si="36"/>
        <v>#VALUE!</v>
      </c>
      <c r="N87" s="35" t="e">
        <f t="shared" si="37"/>
        <v>#VALUE!</v>
      </c>
      <c r="O87" s="35" t="e">
        <f t="shared" si="48"/>
        <v>#VALUE!</v>
      </c>
      <c r="P87" s="35" t="e">
        <f t="shared" si="42"/>
        <v>#VALUE!</v>
      </c>
      <c r="Q87" s="35">
        <f t="shared" si="43"/>
        <v>0</v>
      </c>
      <c r="R87" s="35">
        <f t="shared" si="49"/>
        <v>0</v>
      </c>
      <c r="S87" s="35" t="e">
        <f t="shared" si="50"/>
        <v>#VALUE!</v>
      </c>
      <c r="T87" s="35" t="e">
        <f t="shared" si="38"/>
        <v>#VALUE!</v>
      </c>
      <c r="U87" s="35" t="e">
        <f t="shared" si="51"/>
        <v>#VALUE!</v>
      </c>
      <c r="V87" s="35" t="e">
        <f t="shared" si="52"/>
        <v>#VALUE!</v>
      </c>
      <c r="W87" s="35" t="e">
        <f t="shared" si="44"/>
        <v>#VALUE!</v>
      </c>
    </row>
    <row r="88" spans="3:23" x14ac:dyDescent="0.25">
      <c r="C88" s="34" t="str">
        <f t="shared" si="45"/>
        <v/>
      </c>
      <c r="D88" s="35" t="e">
        <f t="shared" si="39"/>
        <v>#VALUE!</v>
      </c>
      <c r="E88" s="35">
        <f t="shared" si="46"/>
        <v>0</v>
      </c>
      <c r="F88" s="35">
        <f t="shared" si="47"/>
        <v>0</v>
      </c>
      <c r="G88" s="35" t="e">
        <f t="shared" si="40"/>
        <v>#VALUE!</v>
      </c>
      <c r="H88" s="35" t="e">
        <f t="shared" si="32"/>
        <v>#VALUE!</v>
      </c>
      <c r="I88" s="35" t="e">
        <f t="shared" si="33"/>
        <v>#VALUE!</v>
      </c>
      <c r="J88" s="35">
        <f t="shared" si="34"/>
        <v>0</v>
      </c>
      <c r="K88" s="35">
        <f t="shared" si="41"/>
        <v>0</v>
      </c>
      <c r="L88" s="35" t="e">
        <f t="shared" si="35"/>
        <v>#VALUE!</v>
      </c>
      <c r="M88" s="36" t="e">
        <f t="shared" si="36"/>
        <v>#VALUE!</v>
      </c>
      <c r="N88" s="35" t="e">
        <f t="shared" si="37"/>
        <v>#VALUE!</v>
      </c>
      <c r="O88" s="35" t="e">
        <f t="shared" si="48"/>
        <v>#VALUE!</v>
      </c>
      <c r="P88" s="35" t="e">
        <f t="shared" si="42"/>
        <v>#VALUE!</v>
      </c>
      <c r="Q88" s="35">
        <f t="shared" si="43"/>
        <v>0</v>
      </c>
      <c r="R88" s="35">
        <f t="shared" si="49"/>
        <v>0</v>
      </c>
      <c r="S88" s="35" t="e">
        <f t="shared" si="50"/>
        <v>#VALUE!</v>
      </c>
      <c r="T88" s="35" t="e">
        <f t="shared" si="38"/>
        <v>#VALUE!</v>
      </c>
      <c r="U88" s="35" t="e">
        <f t="shared" si="51"/>
        <v>#VALUE!</v>
      </c>
      <c r="V88" s="35" t="e">
        <f t="shared" si="52"/>
        <v>#VALUE!</v>
      </c>
      <c r="W88" s="35" t="e">
        <f t="shared" si="44"/>
        <v>#VALUE!</v>
      </c>
    </row>
    <row r="89" spans="3:23" x14ac:dyDescent="0.25">
      <c r="C89" s="34" t="str">
        <f t="shared" si="45"/>
        <v/>
      </c>
      <c r="D89" s="35" t="e">
        <f t="shared" si="39"/>
        <v>#VALUE!</v>
      </c>
      <c r="E89" s="35">
        <f t="shared" si="46"/>
        <v>0</v>
      </c>
      <c r="F89" s="35">
        <f t="shared" si="47"/>
        <v>0</v>
      </c>
      <c r="G89" s="35" t="e">
        <f t="shared" si="40"/>
        <v>#VALUE!</v>
      </c>
      <c r="H89" s="35" t="e">
        <f t="shared" si="32"/>
        <v>#VALUE!</v>
      </c>
      <c r="I89" s="35" t="e">
        <f t="shared" si="33"/>
        <v>#VALUE!</v>
      </c>
      <c r="J89" s="35">
        <f t="shared" si="34"/>
        <v>0</v>
      </c>
      <c r="K89" s="35">
        <f t="shared" si="41"/>
        <v>0</v>
      </c>
      <c r="L89" s="35" t="e">
        <f t="shared" si="35"/>
        <v>#VALUE!</v>
      </c>
      <c r="M89" s="36" t="e">
        <f t="shared" si="36"/>
        <v>#VALUE!</v>
      </c>
      <c r="N89" s="35" t="e">
        <f t="shared" si="37"/>
        <v>#VALUE!</v>
      </c>
      <c r="O89" s="35" t="e">
        <f t="shared" si="48"/>
        <v>#VALUE!</v>
      </c>
      <c r="P89" s="35" t="e">
        <f t="shared" si="42"/>
        <v>#VALUE!</v>
      </c>
      <c r="Q89" s="35">
        <f t="shared" si="43"/>
        <v>0</v>
      </c>
      <c r="R89" s="35">
        <f t="shared" si="49"/>
        <v>0</v>
      </c>
      <c r="S89" s="35" t="e">
        <f t="shared" si="50"/>
        <v>#VALUE!</v>
      </c>
      <c r="T89" s="35" t="e">
        <f t="shared" si="38"/>
        <v>#VALUE!</v>
      </c>
      <c r="U89" s="35" t="e">
        <f t="shared" si="51"/>
        <v>#VALUE!</v>
      </c>
      <c r="V89" s="35" t="e">
        <f t="shared" si="52"/>
        <v>#VALUE!</v>
      </c>
      <c r="W89" s="35" t="e">
        <f t="shared" si="44"/>
        <v>#VALUE!</v>
      </c>
    </row>
    <row r="90" spans="3:23" x14ac:dyDescent="0.25">
      <c r="C90" s="34" t="str">
        <f t="shared" si="45"/>
        <v/>
      </c>
      <c r="D90" s="35" t="e">
        <f t="shared" si="39"/>
        <v>#VALUE!</v>
      </c>
      <c r="E90" s="35">
        <f t="shared" si="46"/>
        <v>0</v>
      </c>
      <c r="F90" s="35">
        <f t="shared" si="47"/>
        <v>0</v>
      </c>
      <c r="G90" s="35" t="e">
        <f t="shared" si="40"/>
        <v>#VALUE!</v>
      </c>
      <c r="H90" s="35" t="e">
        <f t="shared" si="32"/>
        <v>#VALUE!</v>
      </c>
      <c r="I90" s="35" t="e">
        <f t="shared" si="33"/>
        <v>#VALUE!</v>
      </c>
      <c r="J90" s="35">
        <f t="shared" si="34"/>
        <v>0</v>
      </c>
      <c r="K90" s="35">
        <f t="shared" si="41"/>
        <v>0</v>
      </c>
      <c r="L90" s="35" t="e">
        <f t="shared" si="35"/>
        <v>#VALUE!</v>
      </c>
      <c r="M90" s="36" t="e">
        <f t="shared" si="36"/>
        <v>#VALUE!</v>
      </c>
      <c r="N90" s="35" t="e">
        <f t="shared" si="37"/>
        <v>#VALUE!</v>
      </c>
      <c r="O90" s="35" t="e">
        <f t="shared" si="48"/>
        <v>#VALUE!</v>
      </c>
      <c r="P90" s="35" t="e">
        <f t="shared" si="42"/>
        <v>#VALUE!</v>
      </c>
      <c r="Q90" s="35">
        <f t="shared" si="43"/>
        <v>0</v>
      </c>
      <c r="R90" s="35">
        <f t="shared" si="49"/>
        <v>0</v>
      </c>
      <c r="S90" s="35" t="e">
        <f t="shared" si="50"/>
        <v>#VALUE!</v>
      </c>
      <c r="T90" s="35" t="e">
        <f t="shared" si="38"/>
        <v>#VALUE!</v>
      </c>
      <c r="U90" s="35" t="e">
        <f t="shared" si="51"/>
        <v>#VALUE!</v>
      </c>
      <c r="V90" s="35" t="e">
        <f t="shared" si="52"/>
        <v>#VALUE!</v>
      </c>
      <c r="W90" s="35" t="e">
        <f t="shared" si="44"/>
        <v>#VALUE!</v>
      </c>
    </row>
    <row r="91" spans="3:23" x14ac:dyDescent="0.25">
      <c r="C91" s="34" t="str">
        <f t="shared" si="45"/>
        <v/>
      </c>
      <c r="D91" s="35" t="e">
        <f t="shared" si="39"/>
        <v>#VALUE!</v>
      </c>
      <c r="E91" s="35">
        <f t="shared" si="46"/>
        <v>0</v>
      </c>
      <c r="F91" s="35">
        <f t="shared" si="47"/>
        <v>0</v>
      </c>
      <c r="G91" s="35" t="e">
        <f t="shared" si="40"/>
        <v>#VALUE!</v>
      </c>
      <c r="H91" s="35" t="e">
        <f t="shared" si="32"/>
        <v>#VALUE!</v>
      </c>
      <c r="I91" s="35" t="e">
        <f t="shared" si="33"/>
        <v>#VALUE!</v>
      </c>
      <c r="J91" s="35">
        <f t="shared" si="34"/>
        <v>0</v>
      </c>
      <c r="K91" s="35">
        <f t="shared" si="41"/>
        <v>0</v>
      </c>
      <c r="L91" s="35" t="e">
        <f t="shared" si="35"/>
        <v>#VALUE!</v>
      </c>
      <c r="M91" s="36" t="e">
        <f t="shared" si="36"/>
        <v>#VALUE!</v>
      </c>
      <c r="N91" s="35" t="e">
        <f t="shared" si="37"/>
        <v>#VALUE!</v>
      </c>
      <c r="O91" s="35" t="e">
        <f t="shared" si="48"/>
        <v>#VALUE!</v>
      </c>
      <c r="P91" s="35" t="e">
        <f t="shared" si="42"/>
        <v>#VALUE!</v>
      </c>
      <c r="Q91" s="35">
        <f t="shared" si="43"/>
        <v>0</v>
      </c>
      <c r="R91" s="35">
        <f t="shared" si="49"/>
        <v>0</v>
      </c>
      <c r="S91" s="35" t="e">
        <f t="shared" si="50"/>
        <v>#VALUE!</v>
      </c>
      <c r="T91" s="35" t="e">
        <f t="shared" si="38"/>
        <v>#VALUE!</v>
      </c>
      <c r="U91" s="35" t="e">
        <f t="shared" si="51"/>
        <v>#VALUE!</v>
      </c>
      <c r="V91" s="35" t="e">
        <f t="shared" si="52"/>
        <v>#VALUE!</v>
      </c>
      <c r="W91" s="35" t="e">
        <f t="shared" si="44"/>
        <v>#VALUE!</v>
      </c>
    </row>
    <row r="92" spans="3:23" x14ac:dyDescent="0.25">
      <c r="C92" s="34" t="str">
        <f t="shared" si="45"/>
        <v/>
      </c>
      <c r="D92" s="35" t="e">
        <f t="shared" si="39"/>
        <v>#VALUE!</v>
      </c>
      <c r="E92" s="35">
        <f t="shared" si="46"/>
        <v>0</v>
      </c>
      <c r="F92" s="35">
        <f t="shared" si="47"/>
        <v>0</v>
      </c>
      <c r="G92" s="35" t="e">
        <f t="shared" si="40"/>
        <v>#VALUE!</v>
      </c>
      <c r="H92" s="35" t="e">
        <f t="shared" si="32"/>
        <v>#VALUE!</v>
      </c>
      <c r="I92" s="35" t="e">
        <f t="shared" si="33"/>
        <v>#VALUE!</v>
      </c>
      <c r="J92" s="35">
        <f t="shared" si="34"/>
        <v>0</v>
      </c>
      <c r="K92" s="35">
        <f t="shared" si="41"/>
        <v>0</v>
      </c>
      <c r="L92" s="35" t="e">
        <f t="shared" si="35"/>
        <v>#VALUE!</v>
      </c>
      <c r="M92" s="36" t="e">
        <f t="shared" si="36"/>
        <v>#VALUE!</v>
      </c>
      <c r="N92" s="35" t="e">
        <f t="shared" si="37"/>
        <v>#VALUE!</v>
      </c>
      <c r="O92" s="35" t="e">
        <f t="shared" si="48"/>
        <v>#VALUE!</v>
      </c>
      <c r="P92" s="35" t="e">
        <f t="shared" si="42"/>
        <v>#VALUE!</v>
      </c>
      <c r="Q92" s="35">
        <f t="shared" si="43"/>
        <v>0</v>
      </c>
      <c r="R92" s="35">
        <f t="shared" si="49"/>
        <v>0</v>
      </c>
      <c r="S92" s="35" t="e">
        <f t="shared" si="50"/>
        <v>#VALUE!</v>
      </c>
      <c r="T92" s="35" t="e">
        <f t="shared" si="38"/>
        <v>#VALUE!</v>
      </c>
      <c r="U92" s="35" t="e">
        <f t="shared" si="51"/>
        <v>#VALUE!</v>
      </c>
      <c r="V92" s="35" t="e">
        <f t="shared" si="52"/>
        <v>#VALUE!</v>
      </c>
      <c r="W92" s="35" t="e">
        <f t="shared" si="44"/>
        <v>#VALUE!</v>
      </c>
    </row>
    <row r="93" spans="3:23" x14ac:dyDescent="0.25">
      <c r="C93" s="34" t="str">
        <f t="shared" si="45"/>
        <v/>
      </c>
      <c r="D93" s="35" t="e">
        <f t="shared" si="39"/>
        <v>#VALUE!</v>
      </c>
      <c r="E93" s="35">
        <f t="shared" si="46"/>
        <v>0</v>
      </c>
      <c r="F93" s="35">
        <f t="shared" si="47"/>
        <v>0</v>
      </c>
      <c r="G93" s="35" t="e">
        <f t="shared" si="40"/>
        <v>#VALUE!</v>
      </c>
      <c r="H93" s="35" t="e">
        <f t="shared" si="32"/>
        <v>#VALUE!</v>
      </c>
      <c r="I93" s="35" t="e">
        <f t="shared" si="33"/>
        <v>#VALUE!</v>
      </c>
      <c r="J93" s="35">
        <f t="shared" si="34"/>
        <v>0</v>
      </c>
      <c r="K93" s="35">
        <f t="shared" si="41"/>
        <v>0</v>
      </c>
      <c r="L93" s="35" t="e">
        <f t="shared" si="35"/>
        <v>#VALUE!</v>
      </c>
      <c r="M93" s="36" t="e">
        <f t="shared" si="36"/>
        <v>#VALUE!</v>
      </c>
      <c r="N93" s="35" t="e">
        <f t="shared" si="37"/>
        <v>#VALUE!</v>
      </c>
      <c r="O93" s="35" t="e">
        <f t="shared" si="48"/>
        <v>#VALUE!</v>
      </c>
      <c r="P93" s="35" t="e">
        <f t="shared" si="42"/>
        <v>#VALUE!</v>
      </c>
      <c r="Q93" s="35">
        <f t="shared" si="43"/>
        <v>0</v>
      </c>
      <c r="R93" s="35">
        <f t="shared" si="49"/>
        <v>0</v>
      </c>
      <c r="S93" s="35" t="e">
        <f t="shared" si="50"/>
        <v>#VALUE!</v>
      </c>
      <c r="T93" s="35" t="e">
        <f t="shared" si="38"/>
        <v>#VALUE!</v>
      </c>
      <c r="U93" s="35" t="e">
        <f t="shared" si="51"/>
        <v>#VALUE!</v>
      </c>
      <c r="V93" s="35" t="e">
        <f t="shared" si="52"/>
        <v>#VALUE!</v>
      </c>
      <c r="W93" s="35" t="e">
        <f t="shared" si="44"/>
        <v>#VALUE!</v>
      </c>
    </row>
    <row r="94" spans="3:23" x14ac:dyDescent="0.25">
      <c r="C94" s="34" t="str">
        <f t="shared" si="45"/>
        <v/>
      </c>
      <c r="D94" s="35" t="e">
        <f t="shared" si="39"/>
        <v>#VALUE!</v>
      </c>
      <c r="E94" s="35">
        <f t="shared" si="46"/>
        <v>0</v>
      </c>
      <c r="F94" s="35">
        <f t="shared" si="47"/>
        <v>0</v>
      </c>
      <c r="G94" s="35" t="e">
        <f t="shared" si="40"/>
        <v>#VALUE!</v>
      </c>
      <c r="H94" s="35" t="e">
        <f t="shared" si="32"/>
        <v>#VALUE!</v>
      </c>
      <c r="I94" s="35" t="e">
        <f t="shared" si="33"/>
        <v>#VALUE!</v>
      </c>
      <c r="J94" s="35">
        <f t="shared" si="34"/>
        <v>0</v>
      </c>
      <c r="K94" s="35">
        <f t="shared" si="41"/>
        <v>0</v>
      </c>
      <c r="L94" s="35" t="e">
        <f t="shared" si="35"/>
        <v>#VALUE!</v>
      </c>
      <c r="M94" s="36" t="e">
        <f t="shared" si="36"/>
        <v>#VALUE!</v>
      </c>
      <c r="N94" s="35" t="e">
        <f t="shared" si="37"/>
        <v>#VALUE!</v>
      </c>
      <c r="O94" s="35" t="e">
        <f t="shared" si="48"/>
        <v>#VALUE!</v>
      </c>
      <c r="P94" s="35" t="e">
        <f t="shared" si="42"/>
        <v>#VALUE!</v>
      </c>
      <c r="Q94" s="35">
        <f t="shared" si="43"/>
        <v>0</v>
      </c>
      <c r="R94" s="35">
        <f t="shared" si="49"/>
        <v>0</v>
      </c>
      <c r="S94" s="35" t="e">
        <f t="shared" si="50"/>
        <v>#VALUE!</v>
      </c>
      <c r="T94" s="35" t="e">
        <f t="shared" si="38"/>
        <v>#VALUE!</v>
      </c>
      <c r="U94" s="35" t="e">
        <f t="shared" si="51"/>
        <v>#VALUE!</v>
      </c>
      <c r="V94" s="35" t="e">
        <f t="shared" si="52"/>
        <v>#VALUE!</v>
      </c>
      <c r="W94" s="35" t="e">
        <f t="shared" si="44"/>
        <v>#VALUE!</v>
      </c>
    </row>
    <row r="95" spans="3:23" x14ac:dyDescent="0.25">
      <c r="C95" s="34" t="str">
        <f t="shared" si="45"/>
        <v/>
      </c>
      <c r="D95" s="35" t="e">
        <f t="shared" si="39"/>
        <v>#VALUE!</v>
      </c>
      <c r="E95" s="35">
        <f t="shared" si="46"/>
        <v>0</v>
      </c>
      <c r="F95" s="35">
        <f t="shared" si="47"/>
        <v>0</v>
      </c>
      <c r="G95" s="35" t="e">
        <f t="shared" si="40"/>
        <v>#VALUE!</v>
      </c>
      <c r="H95" s="35" t="e">
        <f t="shared" si="32"/>
        <v>#VALUE!</v>
      </c>
      <c r="I95" s="35" t="e">
        <f t="shared" si="33"/>
        <v>#VALUE!</v>
      </c>
      <c r="J95" s="35">
        <f t="shared" si="34"/>
        <v>0</v>
      </c>
      <c r="K95" s="35">
        <f t="shared" si="41"/>
        <v>0</v>
      </c>
      <c r="L95" s="35" t="e">
        <f t="shared" si="35"/>
        <v>#VALUE!</v>
      </c>
      <c r="M95" s="36" t="e">
        <f t="shared" si="36"/>
        <v>#VALUE!</v>
      </c>
      <c r="N95" s="35" t="e">
        <f t="shared" si="37"/>
        <v>#VALUE!</v>
      </c>
      <c r="O95" s="35" t="e">
        <f t="shared" si="48"/>
        <v>#VALUE!</v>
      </c>
      <c r="P95" s="35" t="e">
        <f t="shared" si="42"/>
        <v>#VALUE!</v>
      </c>
      <c r="Q95" s="35">
        <f t="shared" si="43"/>
        <v>0</v>
      </c>
      <c r="R95" s="35">
        <f t="shared" si="49"/>
        <v>0</v>
      </c>
      <c r="S95" s="35" t="e">
        <f t="shared" si="50"/>
        <v>#VALUE!</v>
      </c>
      <c r="T95" s="35" t="e">
        <f t="shared" si="38"/>
        <v>#VALUE!</v>
      </c>
      <c r="U95" s="35" t="e">
        <f t="shared" si="51"/>
        <v>#VALUE!</v>
      </c>
      <c r="V95" s="35" t="e">
        <f t="shared" si="52"/>
        <v>#VALUE!</v>
      </c>
      <c r="W95" s="35" t="e">
        <f t="shared" si="44"/>
        <v>#VALUE!</v>
      </c>
    </row>
    <row r="96" spans="3:23" x14ac:dyDescent="0.25">
      <c r="C96" s="34" t="str">
        <f t="shared" si="45"/>
        <v/>
      </c>
      <c r="D96" s="35" t="e">
        <f t="shared" si="39"/>
        <v>#VALUE!</v>
      </c>
      <c r="E96" s="35">
        <f t="shared" si="46"/>
        <v>0</v>
      </c>
      <c r="F96" s="35">
        <f t="shared" si="47"/>
        <v>0</v>
      </c>
      <c r="G96" s="35" t="e">
        <f t="shared" si="40"/>
        <v>#VALUE!</v>
      </c>
      <c r="H96" s="35" t="e">
        <f t="shared" si="32"/>
        <v>#VALUE!</v>
      </c>
      <c r="I96" s="35" t="e">
        <f t="shared" si="33"/>
        <v>#VALUE!</v>
      </c>
      <c r="J96" s="35">
        <f t="shared" si="34"/>
        <v>0</v>
      </c>
      <c r="K96" s="35">
        <f t="shared" si="41"/>
        <v>0</v>
      </c>
      <c r="L96" s="35" t="e">
        <f t="shared" si="35"/>
        <v>#VALUE!</v>
      </c>
      <c r="M96" s="36" t="e">
        <f t="shared" si="36"/>
        <v>#VALUE!</v>
      </c>
      <c r="N96" s="35" t="e">
        <f t="shared" si="37"/>
        <v>#VALUE!</v>
      </c>
      <c r="O96" s="35" t="e">
        <f t="shared" si="48"/>
        <v>#VALUE!</v>
      </c>
      <c r="P96" s="35" t="e">
        <f t="shared" si="42"/>
        <v>#VALUE!</v>
      </c>
      <c r="Q96" s="35">
        <f t="shared" si="43"/>
        <v>0</v>
      </c>
      <c r="R96" s="35">
        <f t="shared" si="49"/>
        <v>0</v>
      </c>
      <c r="S96" s="35" t="e">
        <f t="shared" si="50"/>
        <v>#VALUE!</v>
      </c>
      <c r="T96" s="35" t="e">
        <f t="shared" si="38"/>
        <v>#VALUE!</v>
      </c>
      <c r="U96" s="35" t="e">
        <f t="shared" si="51"/>
        <v>#VALUE!</v>
      </c>
      <c r="V96" s="35" t="e">
        <f t="shared" si="52"/>
        <v>#VALUE!</v>
      </c>
      <c r="W96" s="35" t="e">
        <f t="shared" si="44"/>
        <v>#VALUE!</v>
      </c>
    </row>
    <row r="97" spans="3:23" x14ac:dyDescent="0.25">
      <c r="C97" s="34" t="str">
        <f t="shared" si="45"/>
        <v/>
      </c>
      <c r="D97" s="35" t="e">
        <f t="shared" si="39"/>
        <v>#VALUE!</v>
      </c>
      <c r="E97" s="35">
        <f t="shared" si="46"/>
        <v>0</v>
      </c>
      <c r="F97" s="35">
        <f t="shared" si="47"/>
        <v>0</v>
      </c>
      <c r="G97" s="35" t="e">
        <f t="shared" si="40"/>
        <v>#VALUE!</v>
      </c>
      <c r="H97" s="35" t="e">
        <f t="shared" si="32"/>
        <v>#VALUE!</v>
      </c>
      <c r="I97" s="35" t="e">
        <f t="shared" si="33"/>
        <v>#VALUE!</v>
      </c>
      <c r="J97" s="35">
        <f t="shared" si="34"/>
        <v>0</v>
      </c>
      <c r="K97" s="35">
        <f t="shared" si="41"/>
        <v>0</v>
      </c>
      <c r="L97" s="35" t="e">
        <f t="shared" si="35"/>
        <v>#VALUE!</v>
      </c>
      <c r="M97" s="36" t="e">
        <f t="shared" si="36"/>
        <v>#VALUE!</v>
      </c>
      <c r="N97" s="35" t="e">
        <f t="shared" si="37"/>
        <v>#VALUE!</v>
      </c>
      <c r="O97" s="35" t="e">
        <f t="shared" si="48"/>
        <v>#VALUE!</v>
      </c>
      <c r="P97" s="35" t="e">
        <f t="shared" si="42"/>
        <v>#VALUE!</v>
      </c>
      <c r="Q97" s="35">
        <f t="shared" si="43"/>
        <v>0</v>
      </c>
      <c r="R97" s="35">
        <f t="shared" si="49"/>
        <v>0</v>
      </c>
      <c r="S97" s="35" t="e">
        <f t="shared" si="50"/>
        <v>#VALUE!</v>
      </c>
      <c r="T97" s="35" t="e">
        <f t="shared" si="38"/>
        <v>#VALUE!</v>
      </c>
      <c r="U97" s="35" t="e">
        <f t="shared" si="51"/>
        <v>#VALUE!</v>
      </c>
      <c r="V97" s="35" t="e">
        <f t="shared" si="52"/>
        <v>#VALUE!</v>
      </c>
      <c r="W97" s="35" t="e">
        <f t="shared" si="44"/>
        <v>#VALUE!</v>
      </c>
    </row>
    <row r="98" spans="3:23" x14ac:dyDescent="0.25">
      <c r="C98" s="34" t="str">
        <f t="shared" si="45"/>
        <v/>
      </c>
      <c r="D98" s="35" t="e">
        <f t="shared" si="39"/>
        <v>#VALUE!</v>
      </c>
      <c r="E98" s="35">
        <f t="shared" si="46"/>
        <v>0</v>
      </c>
      <c r="F98" s="35">
        <f t="shared" si="47"/>
        <v>0</v>
      </c>
      <c r="G98" s="35" t="e">
        <f t="shared" si="40"/>
        <v>#VALUE!</v>
      </c>
      <c r="H98" s="35" t="e">
        <f t="shared" si="32"/>
        <v>#VALUE!</v>
      </c>
      <c r="I98" s="35" t="e">
        <f t="shared" si="33"/>
        <v>#VALUE!</v>
      </c>
      <c r="J98" s="35">
        <f t="shared" si="34"/>
        <v>0</v>
      </c>
      <c r="K98" s="35">
        <f t="shared" si="41"/>
        <v>0</v>
      </c>
      <c r="L98" s="35" t="e">
        <f t="shared" si="35"/>
        <v>#VALUE!</v>
      </c>
      <c r="M98" s="36" t="e">
        <f t="shared" si="36"/>
        <v>#VALUE!</v>
      </c>
      <c r="N98" s="35" t="e">
        <f t="shared" si="37"/>
        <v>#VALUE!</v>
      </c>
      <c r="O98" s="35" t="e">
        <f t="shared" si="48"/>
        <v>#VALUE!</v>
      </c>
      <c r="P98" s="35" t="e">
        <f t="shared" si="42"/>
        <v>#VALUE!</v>
      </c>
      <c r="Q98" s="35">
        <f t="shared" si="43"/>
        <v>0</v>
      </c>
      <c r="R98" s="35">
        <f t="shared" si="49"/>
        <v>0</v>
      </c>
      <c r="S98" s="35" t="e">
        <f t="shared" si="50"/>
        <v>#VALUE!</v>
      </c>
      <c r="T98" s="35" t="e">
        <f t="shared" si="38"/>
        <v>#VALUE!</v>
      </c>
      <c r="U98" s="35" t="e">
        <f t="shared" si="51"/>
        <v>#VALUE!</v>
      </c>
      <c r="V98" s="35" t="e">
        <f t="shared" si="52"/>
        <v>#VALUE!</v>
      </c>
      <c r="W98" s="35" t="e">
        <f t="shared" si="44"/>
        <v>#VALUE!</v>
      </c>
    </row>
    <row r="99" spans="3:23" x14ac:dyDescent="0.25">
      <c r="C99" s="34" t="str">
        <f t="shared" si="45"/>
        <v/>
      </c>
      <c r="D99" s="35" t="e">
        <f t="shared" si="39"/>
        <v>#VALUE!</v>
      </c>
      <c r="E99" s="35">
        <f t="shared" si="46"/>
        <v>0</v>
      </c>
      <c r="F99" s="35">
        <f t="shared" si="47"/>
        <v>0</v>
      </c>
      <c r="G99" s="35" t="e">
        <f t="shared" si="40"/>
        <v>#VALUE!</v>
      </c>
      <c r="H99" s="35" t="e">
        <f t="shared" si="32"/>
        <v>#VALUE!</v>
      </c>
      <c r="I99" s="35" t="e">
        <f t="shared" si="33"/>
        <v>#VALUE!</v>
      </c>
      <c r="J99" s="35">
        <f t="shared" si="34"/>
        <v>0</v>
      </c>
      <c r="K99" s="35">
        <f t="shared" si="41"/>
        <v>0</v>
      </c>
      <c r="L99" s="35" t="e">
        <f t="shared" si="35"/>
        <v>#VALUE!</v>
      </c>
      <c r="M99" s="36" t="e">
        <f t="shared" si="36"/>
        <v>#VALUE!</v>
      </c>
      <c r="N99" s="35" t="e">
        <f t="shared" si="37"/>
        <v>#VALUE!</v>
      </c>
      <c r="O99" s="35" t="e">
        <f t="shared" si="48"/>
        <v>#VALUE!</v>
      </c>
      <c r="P99" s="35" t="e">
        <f t="shared" si="42"/>
        <v>#VALUE!</v>
      </c>
      <c r="Q99" s="35">
        <f t="shared" si="43"/>
        <v>0</v>
      </c>
      <c r="R99" s="35">
        <f t="shared" si="49"/>
        <v>0</v>
      </c>
      <c r="S99" s="35" t="e">
        <f t="shared" si="50"/>
        <v>#VALUE!</v>
      </c>
      <c r="T99" s="35" t="e">
        <f t="shared" si="38"/>
        <v>#VALUE!</v>
      </c>
      <c r="U99" s="35" t="e">
        <f t="shared" si="51"/>
        <v>#VALUE!</v>
      </c>
      <c r="V99" s="35" t="e">
        <f t="shared" si="52"/>
        <v>#VALUE!</v>
      </c>
      <c r="W99" s="35" t="e">
        <f t="shared" si="44"/>
        <v>#VALUE!</v>
      </c>
    </row>
    <row r="100" spans="3:23" x14ac:dyDescent="0.25">
      <c r="C100" s="34" t="str">
        <f t="shared" si="45"/>
        <v/>
      </c>
      <c r="D100" s="35" t="e">
        <f t="shared" si="39"/>
        <v>#VALUE!</v>
      </c>
      <c r="E100" s="35">
        <f t="shared" si="46"/>
        <v>0</v>
      </c>
      <c r="F100" s="35">
        <f t="shared" si="47"/>
        <v>0</v>
      </c>
      <c r="G100" s="35" t="e">
        <f t="shared" si="40"/>
        <v>#VALUE!</v>
      </c>
      <c r="H100" s="35" t="e">
        <f t="shared" si="32"/>
        <v>#VALUE!</v>
      </c>
      <c r="I100" s="35" t="e">
        <f t="shared" si="33"/>
        <v>#VALUE!</v>
      </c>
      <c r="J100" s="35">
        <f t="shared" si="34"/>
        <v>0</v>
      </c>
      <c r="K100" s="35">
        <f t="shared" si="41"/>
        <v>0</v>
      </c>
      <c r="L100" s="35" t="e">
        <f t="shared" si="35"/>
        <v>#VALUE!</v>
      </c>
      <c r="M100" s="36" t="e">
        <f t="shared" si="36"/>
        <v>#VALUE!</v>
      </c>
      <c r="N100" s="35" t="e">
        <f t="shared" si="37"/>
        <v>#VALUE!</v>
      </c>
      <c r="O100" s="35" t="e">
        <f t="shared" si="48"/>
        <v>#VALUE!</v>
      </c>
      <c r="P100" s="35" t="e">
        <f t="shared" si="42"/>
        <v>#VALUE!</v>
      </c>
      <c r="Q100" s="35">
        <f t="shared" si="43"/>
        <v>0</v>
      </c>
      <c r="R100" s="35">
        <f t="shared" si="49"/>
        <v>0</v>
      </c>
      <c r="S100" s="35" t="e">
        <f t="shared" si="50"/>
        <v>#VALUE!</v>
      </c>
      <c r="T100" s="35" t="e">
        <f t="shared" si="38"/>
        <v>#VALUE!</v>
      </c>
      <c r="U100" s="35" t="e">
        <f t="shared" si="51"/>
        <v>#VALUE!</v>
      </c>
      <c r="V100" s="35" t="e">
        <f t="shared" si="52"/>
        <v>#VALUE!</v>
      </c>
      <c r="W100" s="35" t="e">
        <f t="shared" si="44"/>
        <v>#VALUE!</v>
      </c>
    </row>
    <row r="101" spans="3:23" x14ac:dyDescent="0.25">
      <c r="C101" s="34" t="str">
        <f t="shared" si="45"/>
        <v/>
      </c>
      <c r="D101" s="35" t="e">
        <f t="shared" si="39"/>
        <v>#VALUE!</v>
      </c>
      <c r="E101" s="35">
        <f t="shared" si="46"/>
        <v>0</v>
      </c>
      <c r="F101" s="35">
        <f t="shared" si="47"/>
        <v>0</v>
      </c>
      <c r="G101" s="35" t="e">
        <f t="shared" si="40"/>
        <v>#VALUE!</v>
      </c>
      <c r="H101" s="35" t="e">
        <f t="shared" si="32"/>
        <v>#VALUE!</v>
      </c>
      <c r="I101" s="35" t="e">
        <f t="shared" si="33"/>
        <v>#VALUE!</v>
      </c>
      <c r="J101" s="35">
        <f t="shared" si="34"/>
        <v>0</v>
      </c>
      <c r="K101" s="35">
        <f t="shared" si="41"/>
        <v>0</v>
      </c>
      <c r="L101" s="35" t="e">
        <f t="shared" si="35"/>
        <v>#VALUE!</v>
      </c>
      <c r="M101" s="36" t="e">
        <f t="shared" si="36"/>
        <v>#VALUE!</v>
      </c>
      <c r="N101" s="35" t="e">
        <f t="shared" si="37"/>
        <v>#VALUE!</v>
      </c>
      <c r="O101" s="35" t="e">
        <f t="shared" si="48"/>
        <v>#VALUE!</v>
      </c>
      <c r="P101" s="35" t="e">
        <f t="shared" si="42"/>
        <v>#VALUE!</v>
      </c>
      <c r="Q101" s="35">
        <f t="shared" si="43"/>
        <v>0</v>
      </c>
      <c r="R101" s="35">
        <f t="shared" si="49"/>
        <v>0</v>
      </c>
      <c r="S101" s="35" t="e">
        <f t="shared" si="50"/>
        <v>#VALUE!</v>
      </c>
      <c r="T101" s="35" t="e">
        <f t="shared" si="38"/>
        <v>#VALUE!</v>
      </c>
      <c r="U101" s="35" t="e">
        <f t="shared" si="51"/>
        <v>#VALUE!</v>
      </c>
      <c r="V101" s="35" t="e">
        <f t="shared" si="52"/>
        <v>#VALUE!</v>
      </c>
      <c r="W101" s="35" t="e">
        <f t="shared" si="44"/>
        <v>#VALUE!</v>
      </c>
    </row>
    <row r="102" spans="3:23" x14ac:dyDescent="0.25">
      <c r="C102" s="34" t="str">
        <f t="shared" si="45"/>
        <v/>
      </c>
      <c r="D102" s="35" t="e">
        <f t="shared" si="39"/>
        <v>#VALUE!</v>
      </c>
      <c r="E102" s="35">
        <f t="shared" si="46"/>
        <v>0</v>
      </c>
      <c r="F102" s="35">
        <f t="shared" si="47"/>
        <v>0</v>
      </c>
      <c r="G102" s="35" t="e">
        <f t="shared" si="40"/>
        <v>#VALUE!</v>
      </c>
      <c r="H102" s="35" t="e">
        <f t="shared" si="32"/>
        <v>#VALUE!</v>
      </c>
      <c r="I102" s="35" t="e">
        <f t="shared" si="33"/>
        <v>#VALUE!</v>
      </c>
      <c r="J102" s="35">
        <f t="shared" si="34"/>
        <v>0</v>
      </c>
      <c r="K102" s="35">
        <f t="shared" si="41"/>
        <v>0</v>
      </c>
      <c r="L102" s="35" t="e">
        <f t="shared" si="35"/>
        <v>#VALUE!</v>
      </c>
      <c r="M102" s="36" t="e">
        <f t="shared" si="36"/>
        <v>#VALUE!</v>
      </c>
      <c r="N102" s="35" t="e">
        <f t="shared" si="37"/>
        <v>#VALUE!</v>
      </c>
      <c r="O102" s="35" t="e">
        <f t="shared" si="48"/>
        <v>#VALUE!</v>
      </c>
      <c r="P102" s="35" t="e">
        <f t="shared" si="42"/>
        <v>#VALUE!</v>
      </c>
      <c r="Q102" s="35">
        <f t="shared" si="43"/>
        <v>0</v>
      </c>
      <c r="R102" s="35">
        <f t="shared" si="49"/>
        <v>0</v>
      </c>
      <c r="S102" s="35" t="e">
        <f t="shared" si="50"/>
        <v>#VALUE!</v>
      </c>
      <c r="T102" s="35" t="e">
        <f t="shared" si="38"/>
        <v>#VALUE!</v>
      </c>
      <c r="U102" s="35" t="e">
        <f t="shared" si="51"/>
        <v>#VALUE!</v>
      </c>
      <c r="V102" s="35" t="e">
        <f t="shared" si="52"/>
        <v>#VALUE!</v>
      </c>
      <c r="W102" s="35" t="e">
        <f t="shared" si="44"/>
        <v>#VALUE!</v>
      </c>
    </row>
    <row r="103" spans="3:23" x14ac:dyDescent="0.25">
      <c r="C103" s="34" t="str">
        <f t="shared" si="45"/>
        <v/>
      </c>
      <c r="D103" s="35" t="e">
        <f t="shared" si="39"/>
        <v>#VALUE!</v>
      </c>
      <c r="E103" s="35">
        <f t="shared" si="46"/>
        <v>0</v>
      </c>
      <c r="F103" s="35">
        <f t="shared" si="47"/>
        <v>0</v>
      </c>
      <c r="G103" s="35" t="e">
        <f t="shared" si="40"/>
        <v>#VALUE!</v>
      </c>
      <c r="H103" s="35" t="e">
        <f t="shared" si="32"/>
        <v>#VALUE!</v>
      </c>
      <c r="I103" s="35" t="e">
        <f t="shared" si="33"/>
        <v>#VALUE!</v>
      </c>
      <c r="J103" s="35">
        <f t="shared" si="34"/>
        <v>0</v>
      </c>
      <c r="K103" s="35">
        <f t="shared" si="41"/>
        <v>0</v>
      </c>
      <c r="L103" s="35" t="e">
        <f t="shared" si="35"/>
        <v>#VALUE!</v>
      </c>
      <c r="M103" s="36" t="e">
        <f t="shared" si="36"/>
        <v>#VALUE!</v>
      </c>
      <c r="N103" s="35" t="e">
        <f t="shared" si="37"/>
        <v>#VALUE!</v>
      </c>
      <c r="O103" s="35" t="e">
        <f t="shared" si="48"/>
        <v>#VALUE!</v>
      </c>
      <c r="P103" s="35" t="e">
        <f t="shared" si="42"/>
        <v>#VALUE!</v>
      </c>
      <c r="Q103" s="35">
        <f t="shared" si="43"/>
        <v>0</v>
      </c>
      <c r="R103" s="35">
        <f t="shared" si="49"/>
        <v>0</v>
      </c>
      <c r="S103" s="35" t="e">
        <f t="shared" si="50"/>
        <v>#VALUE!</v>
      </c>
      <c r="T103" s="35" t="e">
        <f t="shared" si="38"/>
        <v>#VALUE!</v>
      </c>
      <c r="U103" s="35" t="e">
        <f t="shared" si="51"/>
        <v>#VALUE!</v>
      </c>
      <c r="V103" s="35" t="e">
        <f t="shared" si="52"/>
        <v>#VALUE!</v>
      </c>
      <c r="W103" s="35" t="e">
        <f t="shared" si="44"/>
        <v>#VALUE!</v>
      </c>
    </row>
    <row r="104" spans="3:23" x14ac:dyDescent="0.25">
      <c r="C104" s="34" t="str">
        <f t="shared" si="45"/>
        <v/>
      </c>
      <c r="D104" s="35" t="e">
        <f t="shared" si="39"/>
        <v>#VALUE!</v>
      </c>
      <c r="E104" s="35">
        <f t="shared" si="46"/>
        <v>0</v>
      </c>
      <c r="F104" s="35">
        <f t="shared" si="47"/>
        <v>0</v>
      </c>
      <c r="G104" s="35" t="e">
        <f t="shared" si="40"/>
        <v>#VALUE!</v>
      </c>
      <c r="H104" s="35" t="e">
        <f t="shared" ref="H104:H109" si="53">growth_rate*D104</f>
        <v>#VALUE!</v>
      </c>
      <c r="I104" s="35" t="e">
        <f t="shared" ref="I104:I109" si="54">dividend*D104</f>
        <v>#VALUE!</v>
      </c>
      <c r="J104" s="35">
        <f t="shared" ref="J104:J109" si="55">coupon/bonds_par*E104</f>
        <v>0</v>
      </c>
      <c r="K104" s="35">
        <f t="shared" si="41"/>
        <v>0</v>
      </c>
      <c r="L104" s="35" t="e">
        <f t="shared" ref="L104:L109" si="56">cash_yield*G104</f>
        <v>#VALUE!</v>
      </c>
      <c r="M104" s="36" t="e">
        <f t="shared" ref="M104:M109" si="57">IF(YEAR(C104) &lt; regime_change, "OLD", "NEW")</f>
        <v>#VALUE!</v>
      </c>
      <c r="N104" s="35" t="e">
        <f t="shared" ref="N104:N109" si="58">IF(M104="OLD", (D104+E104+F104-b3_current_franchise)*b3_fiction+G104*b3_cash_fiction, (SUM(H104:L104)-b3_future_franchise))</f>
        <v>#VALUE!</v>
      </c>
      <c r="O104" s="35" t="e">
        <f t="shared" si="48"/>
        <v>#VALUE!</v>
      </c>
      <c r="P104" s="35" t="e">
        <f t="shared" si="42"/>
        <v>#VALUE!</v>
      </c>
      <c r="Q104" s="35">
        <f t="shared" si="43"/>
        <v>0</v>
      </c>
      <c r="R104" s="35">
        <f t="shared" si="49"/>
        <v>0</v>
      </c>
      <c r="S104" s="35" t="e">
        <f t="shared" si="50"/>
        <v>#VALUE!</v>
      </c>
      <c r="T104" s="35" t="e">
        <f t="shared" ref="T104:T109" si="59">IF(YEAR(C104)&lt; YEAR(draw_down_date), 0, IF(YEAR(C104) = YEAR(draw_down_date), draw_down, T103*(1+inflation)))</f>
        <v>#VALUE!</v>
      </c>
      <c r="U104" s="35" t="e">
        <f t="shared" si="51"/>
        <v>#VALUE!</v>
      </c>
      <c r="V104" s="35" t="e">
        <f t="shared" si="52"/>
        <v>#VALUE!</v>
      </c>
      <c r="W104" s="35" t="e">
        <f t="shared" si="44"/>
        <v>#VALUE!</v>
      </c>
    </row>
    <row r="105" spans="3:23" x14ac:dyDescent="0.25">
      <c r="C105" s="34" t="str">
        <f t="shared" si="45"/>
        <v/>
      </c>
      <c r="D105" s="35" t="e">
        <f t="shared" si="39"/>
        <v>#VALUE!</v>
      </c>
      <c r="E105" s="35">
        <f t="shared" si="46"/>
        <v>0</v>
      </c>
      <c r="F105" s="35">
        <f t="shared" si="47"/>
        <v>0</v>
      </c>
      <c r="G105" s="35" t="e">
        <f t="shared" si="40"/>
        <v>#VALUE!</v>
      </c>
      <c r="H105" s="35" t="e">
        <f t="shared" si="53"/>
        <v>#VALUE!</v>
      </c>
      <c r="I105" s="35" t="e">
        <f t="shared" si="54"/>
        <v>#VALUE!</v>
      </c>
      <c r="J105" s="35">
        <f t="shared" si="55"/>
        <v>0</v>
      </c>
      <c r="K105" s="35">
        <f t="shared" si="41"/>
        <v>0</v>
      </c>
      <c r="L105" s="35" t="e">
        <f t="shared" si="56"/>
        <v>#VALUE!</v>
      </c>
      <c r="M105" s="36" t="e">
        <f t="shared" si="57"/>
        <v>#VALUE!</v>
      </c>
      <c r="N105" s="35" t="e">
        <f t="shared" si="58"/>
        <v>#VALUE!</v>
      </c>
      <c r="O105" s="35" t="e">
        <f t="shared" si="48"/>
        <v>#VALUE!</v>
      </c>
      <c r="P105" s="35" t="e">
        <f t="shared" si="42"/>
        <v>#VALUE!</v>
      </c>
      <c r="Q105" s="35">
        <f t="shared" si="43"/>
        <v>0</v>
      </c>
      <c r="R105" s="35">
        <f t="shared" si="49"/>
        <v>0</v>
      </c>
      <c r="S105" s="35" t="e">
        <f t="shared" si="50"/>
        <v>#VALUE!</v>
      </c>
      <c r="T105" s="35" t="e">
        <f t="shared" si="59"/>
        <v>#VALUE!</v>
      </c>
      <c r="U105" s="35" t="e">
        <f t="shared" si="51"/>
        <v>#VALUE!</v>
      </c>
      <c r="V105" s="35" t="e">
        <f t="shared" si="52"/>
        <v>#VALUE!</v>
      </c>
      <c r="W105" s="35" t="e">
        <f t="shared" si="44"/>
        <v>#VALUE!</v>
      </c>
    </row>
    <row r="106" spans="3:23" x14ac:dyDescent="0.25">
      <c r="C106" s="34" t="str">
        <f t="shared" si="45"/>
        <v/>
      </c>
      <c r="D106" s="35" t="e">
        <f t="shared" si="39"/>
        <v>#VALUE!</v>
      </c>
      <c r="E106" s="35">
        <f t="shared" si="46"/>
        <v>0</v>
      </c>
      <c r="F106" s="35">
        <f t="shared" si="47"/>
        <v>0</v>
      </c>
      <c r="G106" s="35" t="e">
        <f t="shared" si="40"/>
        <v>#VALUE!</v>
      </c>
      <c r="H106" s="35" t="e">
        <f t="shared" si="53"/>
        <v>#VALUE!</v>
      </c>
      <c r="I106" s="35" t="e">
        <f t="shared" si="54"/>
        <v>#VALUE!</v>
      </c>
      <c r="J106" s="35">
        <f t="shared" si="55"/>
        <v>0</v>
      </c>
      <c r="K106" s="35">
        <f t="shared" si="41"/>
        <v>0</v>
      </c>
      <c r="L106" s="35" t="e">
        <f t="shared" si="56"/>
        <v>#VALUE!</v>
      </c>
      <c r="M106" s="36" t="e">
        <f t="shared" si="57"/>
        <v>#VALUE!</v>
      </c>
      <c r="N106" s="35" t="e">
        <f t="shared" si="58"/>
        <v>#VALUE!</v>
      </c>
      <c r="O106" s="35" t="e">
        <f t="shared" si="48"/>
        <v>#VALUE!</v>
      </c>
      <c r="P106" s="35" t="e">
        <f t="shared" si="42"/>
        <v>#VALUE!</v>
      </c>
      <c r="Q106" s="35">
        <f t="shared" si="43"/>
        <v>0</v>
      </c>
      <c r="R106" s="35">
        <f t="shared" si="49"/>
        <v>0</v>
      </c>
      <c r="S106" s="35" t="e">
        <f t="shared" si="50"/>
        <v>#VALUE!</v>
      </c>
      <c r="T106" s="35" t="e">
        <f t="shared" si="59"/>
        <v>#VALUE!</v>
      </c>
      <c r="U106" s="35" t="e">
        <f t="shared" si="51"/>
        <v>#VALUE!</v>
      </c>
      <c r="V106" s="35" t="e">
        <f t="shared" si="52"/>
        <v>#VALUE!</v>
      </c>
      <c r="W106" s="35" t="e">
        <f t="shared" si="44"/>
        <v>#VALUE!</v>
      </c>
    </row>
    <row r="107" spans="3:23" x14ac:dyDescent="0.25">
      <c r="C107" s="34" t="str">
        <f t="shared" si="45"/>
        <v/>
      </c>
      <c r="D107" s="35" t="e">
        <f t="shared" si="39"/>
        <v>#VALUE!</v>
      </c>
      <c r="E107" s="35">
        <f t="shared" si="46"/>
        <v>0</v>
      </c>
      <c r="F107" s="35">
        <f t="shared" si="47"/>
        <v>0</v>
      </c>
      <c r="G107" s="35" t="e">
        <f t="shared" si="40"/>
        <v>#VALUE!</v>
      </c>
      <c r="H107" s="35" t="e">
        <f t="shared" si="53"/>
        <v>#VALUE!</v>
      </c>
      <c r="I107" s="35" t="e">
        <f t="shared" si="54"/>
        <v>#VALUE!</v>
      </c>
      <c r="J107" s="35">
        <f t="shared" si="55"/>
        <v>0</v>
      </c>
      <c r="K107" s="35">
        <f t="shared" si="41"/>
        <v>0</v>
      </c>
      <c r="L107" s="35" t="e">
        <f t="shared" si="56"/>
        <v>#VALUE!</v>
      </c>
      <c r="M107" s="36" t="e">
        <f t="shared" si="57"/>
        <v>#VALUE!</v>
      </c>
      <c r="N107" s="35" t="e">
        <f t="shared" si="58"/>
        <v>#VALUE!</v>
      </c>
      <c r="O107" s="35" t="e">
        <f t="shared" si="48"/>
        <v>#VALUE!</v>
      </c>
      <c r="P107" s="35" t="e">
        <f t="shared" si="42"/>
        <v>#VALUE!</v>
      </c>
      <c r="Q107" s="35">
        <f t="shared" si="43"/>
        <v>0</v>
      </c>
      <c r="R107" s="35">
        <f t="shared" si="49"/>
        <v>0</v>
      </c>
      <c r="S107" s="35" t="e">
        <f t="shared" si="50"/>
        <v>#VALUE!</v>
      </c>
      <c r="T107" s="35" t="e">
        <f t="shared" si="59"/>
        <v>#VALUE!</v>
      </c>
      <c r="U107" s="35" t="e">
        <f t="shared" si="51"/>
        <v>#VALUE!</v>
      </c>
      <c r="V107" s="35" t="e">
        <f t="shared" si="52"/>
        <v>#VALUE!</v>
      </c>
      <c r="W107" s="35" t="e">
        <f t="shared" si="44"/>
        <v>#VALUE!</v>
      </c>
    </row>
    <row r="108" spans="3:23" x14ac:dyDescent="0.25">
      <c r="C108" s="34" t="str">
        <f t="shared" si="45"/>
        <v/>
      </c>
      <c r="D108" s="35" t="e">
        <f t="shared" si="39"/>
        <v>#VALUE!</v>
      </c>
      <c r="E108" s="35">
        <f t="shared" si="46"/>
        <v>0</v>
      </c>
      <c r="F108" s="35">
        <f t="shared" si="47"/>
        <v>0</v>
      </c>
      <c r="G108" s="35" t="e">
        <f t="shared" si="40"/>
        <v>#VALUE!</v>
      </c>
      <c r="H108" s="35" t="e">
        <f t="shared" si="53"/>
        <v>#VALUE!</v>
      </c>
      <c r="I108" s="35" t="e">
        <f t="shared" si="54"/>
        <v>#VALUE!</v>
      </c>
      <c r="J108" s="35">
        <f t="shared" si="55"/>
        <v>0</v>
      </c>
      <c r="K108" s="35">
        <f t="shared" si="41"/>
        <v>0</v>
      </c>
      <c r="L108" s="35" t="e">
        <f t="shared" si="56"/>
        <v>#VALUE!</v>
      </c>
      <c r="M108" s="36" t="e">
        <f t="shared" si="57"/>
        <v>#VALUE!</v>
      </c>
      <c r="N108" s="35" t="e">
        <f t="shared" si="58"/>
        <v>#VALUE!</v>
      </c>
      <c r="O108" s="35" t="e">
        <f t="shared" si="48"/>
        <v>#VALUE!</v>
      </c>
      <c r="P108" s="35" t="e">
        <f t="shared" si="42"/>
        <v>#VALUE!</v>
      </c>
      <c r="Q108" s="35">
        <f t="shared" si="43"/>
        <v>0</v>
      </c>
      <c r="R108" s="35">
        <f t="shared" si="49"/>
        <v>0</v>
      </c>
      <c r="S108" s="35" t="e">
        <f t="shared" si="50"/>
        <v>#VALUE!</v>
      </c>
      <c r="T108" s="35" t="e">
        <f t="shared" si="59"/>
        <v>#VALUE!</v>
      </c>
      <c r="U108" s="35" t="e">
        <f t="shared" si="51"/>
        <v>#VALUE!</v>
      </c>
      <c r="V108" s="35" t="e">
        <f t="shared" si="52"/>
        <v>#VALUE!</v>
      </c>
      <c r="W108" s="35" t="e">
        <f t="shared" si="44"/>
        <v>#VALUE!</v>
      </c>
    </row>
    <row r="109" spans="3:23" x14ac:dyDescent="0.25">
      <c r="C109" s="34" t="str">
        <f t="shared" si="45"/>
        <v/>
      </c>
      <c r="D109" s="35" t="e">
        <f t="shared" si="39"/>
        <v>#VALUE!</v>
      </c>
      <c r="E109" s="35">
        <f t="shared" si="46"/>
        <v>0</v>
      </c>
      <c r="F109" s="35">
        <f t="shared" si="47"/>
        <v>0</v>
      </c>
      <c r="G109" s="35" t="e">
        <f t="shared" si="40"/>
        <v>#VALUE!</v>
      </c>
      <c r="H109" s="35" t="e">
        <f t="shared" si="53"/>
        <v>#VALUE!</v>
      </c>
      <c r="I109" s="35" t="e">
        <f t="shared" si="54"/>
        <v>#VALUE!</v>
      </c>
      <c r="J109" s="35">
        <f t="shared" si="55"/>
        <v>0</v>
      </c>
      <c r="K109" s="35">
        <f t="shared" si="41"/>
        <v>0</v>
      </c>
      <c r="L109" s="35" t="e">
        <f t="shared" si="56"/>
        <v>#VALUE!</v>
      </c>
      <c r="M109" s="36" t="e">
        <f t="shared" si="57"/>
        <v>#VALUE!</v>
      </c>
      <c r="N109" s="35" t="e">
        <f t="shared" si="58"/>
        <v>#VALUE!</v>
      </c>
      <c r="O109" s="35" t="e">
        <f t="shared" si="48"/>
        <v>#VALUE!</v>
      </c>
      <c r="P109" s="35" t="e">
        <f t="shared" si="42"/>
        <v>#VALUE!</v>
      </c>
      <c r="Q109" s="35">
        <f t="shared" si="43"/>
        <v>0</v>
      </c>
      <c r="R109" s="35">
        <f t="shared" si="49"/>
        <v>0</v>
      </c>
      <c r="S109" s="35" t="e">
        <f t="shared" si="50"/>
        <v>#VALUE!</v>
      </c>
      <c r="T109" s="35" t="e">
        <f t="shared" si="59"/>
        <v>#VALUE!</v>
      </c>
      <c r="U109" s="35" t="e">
        <f t="shared" si="51"/>
        <v>#VALUE!</v>
      </c>
      <c r="V109" s="35" t="e">
        <f t="shared" si="52"/>
        <v>#VALUE!</v>
      </c>
      <c r="W109" s="35" t="e">
        <f t="shared" si="44"/>
        <v>#VALUE!</v>
      </c>
    </row>
    <row r="110" spans="3:23" x14ac:dyDescent="0.25">
      <c r="C110" s="34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754A8-5056-41DE-B5ED-0FA0F3755A29}">
  <sheetPr>
    <tabColor theme="7"/>
  </sheetPr>
  <dimension ref="I10:U28"/>
  <sheetViews>
    <sheetView showGridLines="0" workbookViewId="0">
      <selection activeCell="K36" sqref="K36"/>
    </sheetView>
  </sheetViews>
  <sheetFormatPr defaultRowHeight="15" x14ac:dyDescent="0.25"/>
  <cols>
    <col min="1" max="16384" width="9.140625" style="37"/>
  </cols>
  <sheetData>
    <row r="10" spans="9:21" x14ac:dyDescent="0.25">
      <c r="I10" s="62" t="s">
        <v>36</v>
      </c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</row>
    <row r="11" spans="9:21" x14ac:dyDescent="0.25"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</row>
    <row r="12" spans="9:21" x14ac:dyDescent="0.25"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</row>
    <row r="13" spans="9:21" x14ac:dyDescent="0.25"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</row>
    <row r="14" spans="9:21" x14ac:dyDescent="0.25"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</row>
    <row r="15" spans="9:21" x14ac:dyDescent="0.25"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</row>
    <row r="16" spans="9:21" x14ac:dyDescent="0.25"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</row>
    <row r="17" spans="9:21" x14ac:dyDescent="0.25"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</row>
    <row r="18" spans="9:21" x14ac:dyDescent="0.25"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</row>
    <row r="19" spans="9:21" x14ac:dyDescent="0.25"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</row>
    <row r="20" spans="9:21" x14ac:dyDescent="0.25"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</row>
    <row r="21" spans="9:21" x14ac:dyDescent="0.25"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</row>
    <row r="22" spans="9:21" x14ac:dyDescent="0.25"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</row>
    <row r="23" spans="9:21" x14ac:dyDescent="0.25"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9:21" x14ac:dyDescent="0.25"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</row>
    <row r="25" spans="9:21" x14ac:dyDescent="0.25"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</row>
    <row r="26" spans="9:21" x14ac:dyDescent="0.25"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</row>
    <row r="27" spans="9:21" x14ac:dyDescent="0.25"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</row>
    <row r="28" spans="9:21" x14ac:dyDescent="0.25"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</row>
  </sheetData>
  <mergeCells count="1">
    <mergeCell ref="I10:U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421D-A87A-4C9B-84FE-2D4E64D305A7}">
  <dimension ref="C2:AA111"/>
  <sheetViews>
    <sheetView showGridLines="0" topLeftCell="L4" zoomScaleNormal="100" workbookViewId="0">
      <selection activeCell="W28" sqref="W28"/>
    </sheetView>
  </sheetViews>
  <sheetFormatPr defaultRowHeight="15" x14ac:dyDescent="0.25"/>
  <cols>
    <col min="1" max="2" width="9.140625" style="31"/>
    <col min="3" max="3" width="15.7109375" style="31" customWidth="1"/>
    <col min="4" max="4" width="18.7109375" style="31" customWidth="1"/>
    <col min="5" max="5" width="17.42578125" style="31" customWidth="1"/>
    <col min="6" max="6" width="13.5703125" style="31" customWidth="1"/>
    <col min="7" max="11" width="18.7109375" style="31" customWidth="1"/>
    <col min="12" max="12" width="17.42578125" style="31" customWidth="1"/>
    <col min="13" max="13" width="25.7109375" style="31" customWidth="1"/>
    <col min="14" max="14" width="22.5703125" style="31" customWidth="1"/>
    <col min="15" max="15" width="22.7109375" style="31" customWidth="1"/>
    <col min="16" max="19" width="18.28515625" style="31" customWidth="1"/>
    <col min="20" max="21" width="18.7109375" style="31" customWidth="1"/>
    <col min="22" max="22" width="17.28515625" style="31" customWidth="1"/>
    <col min="23" max="23" width="18.7109375" style="31" customWidth="1"/>
    <col min="24" max="25" width="9.140625" style="31"/>
    <col min="26" max="27" width="11" style="31" bestFit="1" customWidth="1"/>
    <col min="28" max="16384" width="9.140625" style="31"/>
  </cols>
  <sheetData>
    <row r="2" spans="3:27" x14ac:dyDescent="0.25">
      <c r="C2" s="30"/>
      <c r="E2" s="47" t="s">
        <v>75</v>
      </c>
    </row>
    <row r="3" spans="3:27" x14ac:dyDescent="0.25">
      <c r="E3" s="47" t="s">
        <v>71</v>
      </c>
    </row>
    <row r="4" spans="3:27" ht="21" x14ac:dyDescent="0.35">
      <c r="C4" s="32" t="s">
        <v>59</v>
      </c>
    </row>
    <row r="6" spans="3:27" x14ac:dyDescent="0.25">
      <c r="C6" s="33" t="s">
        <v>22</v>
      </c>
      <c r="D6" s="33" t="s">
        <v>43</v>
      </c>
      <c r="E6" s="33"/>
      <c r="F6" s="33"/>
      <c r="G6" s="33" t="s">
        <v>44</v>
      </c>
      <c r="H6" s="28"/>
      <c r="L6" s="42" t="s">
        <v>62</v>
      </c>
      <c r="O6" s="28" t="s">
        <v>52</v>
      </c>
      <c r="T6" s="28" t="s">
        <v>72</v>
      </c>
      <c r="U6" s="28"/>
      <c r="W6" s="28" t="s">
        <v>30</v>
      </c>
    </row>
    <row r="7" spans="3:27" x14ac:dyDescent="0.25">
      <c r="D7" s="43" t="s">
        <v>33</v>
      </c>
      <c r="E7" s="43" t="s">
        <v>34</v>
      </c>
      <c r="F7" s="43" t="s">
        <v>51</v>
      </c>
      <c r="G7" s="43" t="s">
        <v>47</v>
      </c>
      <c r="H7" s="43" t="s">
        <v>48</v>
      </c>
      <c r="I7" s="43" t="s">
        <v>49</v>
      </c>
      <c r="J7" s="43" t="s">
        <v>55</v>
      </c>
      <c r="K7" s="43" t="s">
        <v>60</v>
      </c>
      <c r="L7" s="43" t="s">
        <v>61</v>
      </c>
      <c r="M7" s="43" t="s">
        <v>28</v>
      </c>
      <c r="N7" s="43" t="s">
        <v>27</v>
      </c>
      <c r="O7" s="43" t="s">
        <v>48</v>
      </c>
      <c r="P7" s="43" t="s">
        <v>49</v>
      </c>
      <c r="Q7" s="43" t="s">
        <v>55</v>
      </c>
      <c r="R7" s="43" t="s">
        <v>63</v>
      </c>
      <c r="S7" s="43" t="s">
        <v>53</v>
      </c>
      <c r="T7" s="43" t="s">
        <v>74</v>
      </c>
      <c r="U7" s="43" t="s">
        <v>73</v>
      </c>
      <c r="V7" s="43" t="s">
        <v>76</v>
      </c>
    </row>
    <row r="8" spans="3:27" x14ac:dyDescent="0.25">
      <c r="C8" s="34">
        <f>Parameters!C35</f>
        <v>46023</v>
      </c>
      <c r="D8" s="35">
        <f>equity_start</f>
        <v>1000000</v>
      </c>
      <c r="E8" s="35">
        <f>bonds_start</f>
        <v>0</v>
      </c>
      <c r="F8" s="35">
        <f>cash_start</f>
        <v>0</v>
      </c>
      <c r="G8" s="35">
        <f t="shared" ref="G8:G39" si="0">D8*growth_rate</f>
        <v>70000</v>
      </c>
      <c r="H8" s="35">
        <f t="shared" ref="H8:H39" si="1">D8*dividend</f>
        <v>0</v>
      </c>
      <c r="I8" s="35">
        <f t="shared" ref="I8:I39" si="2">E8/bonds_par*coupon</f>
        <v>0</v>
      </c>
      <c r="J8" s="35">
        <f t="shared" ref="J8:J39" si="3">cash_yield*F8</f>
        <v>0</v>
      </c>
      <c r="K8" s="35">
        <f t="shared" ref="K8:K39" si="4">IF(mtm=TRUE, SUM(G8:J8), H8+I8+J8)</f>
        <v>70000</v>
      </c>
      <c r="L8" s="35">
        <f t="shared" ref="L8:L39" si="5">IF(K8&lt;vpb_cutover,K8* vpb_1, (K8-vpb_cutover)*vpb_2+vpb_cutover*vpb_1)</f>
        <v>13300</v>
      </c>
      <c r="M8" s="35">
        <f>IF(mtm=FALSE, SUM($G$8:G8), 0)</f>
        <v>0</v>
      </c>
      <c r="N8" s="35">
        <f t="shared" ref="N8:N9" si="6">vpb_2*M8</f>
        <v>0</v>
      </c>
      <c r="O8" s="35">
        <f t="shared" ref="O8:Q9" si="7">H8</f>
        <v>0</v>
      </c>
      <c r="P8" s="35">
        <f t="shared" si="7"/>
        <v>0</v>
      </c>
      <c r="Q8" s="35">
        <f t="shared" si="7"/>
        <v>0</v>
      </c>
      <c r="R8" s="35">
        <f>L8</f>
        <v>13300</v>
      </c>
      <c r="S8" s="35">
        <f>O8+P8+Q8-R8</f>
        <v>-13300</v>
      </c>
      <c r="T8" s="35">
        <f>SUM(D8:J8)-L8-N8</f>
        <v>1056700</v>
      </c>
      <c r="U8" s="35">
        <f>SUM($D$8:$F$8)</f>
        <v>1000000</v>
      </c>
      <c r="V8" s="35">
        <f t="shared" ref="V8:V39" si="8">IF((T8-U8)&gt;box2_cutover, (T8-U8-box2_cutover)*box2_2+box2_1*box2_cutover, MAX((T8-U8)*box2_1, 0))</f>
        <v>13891.5</v>
      </c>
      <c r="W8" s="35">
        <f>T8-V8</f>
        <v>1042808.5</v>
      </c>
      <c r="Z8" s="58"/>
      <c r="AA8" s="35"/>
    </row>
    <row r="9" spans="3:27" x14ac:dyDescent="0.25">
      <c r="C9" s="34">
        <f>DATE(YEAR(C8)+1,1,1)</f>
        <v>46388</v>
      </c>
      <c r="D9" s="35">
        <f t="shared" ref="D9:D40" si="9">D8+G8+IF(S8&gt;0, S8*reinvestment_mix, 0)</f>
        <v>1070000</v>
      </c>
      <c r="E9" s="35">
        <f>E8</f>
        <v>0</v>
      </c>
      <c r="F9" s="35">
        <f t="shared" ref="F9:F40" si="10">F8+IF(S8&gt;0, S8*(1-reinvestment_mix), S8)</f>
        <v>-13300</v>
      </c>
      <c r="G9" s="35">
        <f t="shared" si="0"/>
        <v>74900</v>
      </c>
      <c r="H9" s="35">
        <f t="shared" si="1"/>
        <v>0</v>
      </c>
      <c r="I9" s="35">
        <f t="shared" si="2"/>
        <v>0</v>
      </c>
      <c r="J9" s="35">
        <f t="shared" si="3"/>
        <v>-266</v>
      </c>
      <c r="K9" s="35">
        <f t="shared" si="4"/>
        <v>74634</v>
      </c>
      <c r="L9" s="35">
        <f t="shared" si="5"/>
        <v>14180.460000000001</v>
      </c>
      <c r="M9" s="35">
        <f>IF(mtm=FALSE, SUM($G$8:G9), 0)</f>
        <v>0</v>
      </c>
      <c r="N9" s="35">
        <f t="shared" si="6"/>
        <v>0</v>
      </c>
      <c r="O9" s="35">
        <f t="shared" si="7"/>
        <v>0</v>
      </c>
      <c r="P9" s="35">
        <f t="shared" si="7"/>
        <v>0</v>
      </c>
      <c r="Q9" s="35">
        <f t="shared" si="7"/>
        <v>-266</v>
      </c>
      <c r="R9" s="35">
        <f t="shared" ref="R9:R72" si="11">L9</f>
        <v>14180.460000000001</v>
      </c>
      <c r="S9" s="35">
        <f>O9+P9+Q9-R9</f>
        <v>-14446.460000000001</v>
      </c>
      <c r="T9" s="35">
        <f t="shared" ref="T9:T72" si="12">SUM(D9:J9)-L9-N9</f>
        <v>1117153.54</v>
      </c>
      <c r="U9" s="35">
        <f t="shared" ref="U9:U72" si="13">SUM($D$8:$F$8)</f>
        <v>1000000</v>
      </c>
      <c r="V9" s="35">
        <f t="shared" si="8"/>
        <v>31962.597400000013</v>
      </c>
      <c r="W9" s="35">
        <f t="shared" ref="W9:W72" si="14">T9-V9</f>
        <v>1085190.9426</v>
      </c>
    </row>
    <row r="10" spans="3:27" x14ac:dyDescent="0.25">
      <c r="C10" s="34">
        <f t="shared" ref="C10:C41" si="15">IF(ROW(C9)-ROW($C$8) &lt;= hoelang, DATE(YEAR(C9)+1,1,1), "")</f>
        <v>46753</v>
      </c>
      <c r="D10" s="35">
        <f t="shared" si="9"/>
        <v>1144900</v>
      </c>
      <c r="E10" s="35">
        <f t="shared" ref="E10:E73" si="16">E9</f>
        <v>0</v>
      </c>
      <c r="F10" s="35">
        <f t="shared" si="10"/>
        <v>-27746.46</v>
      </c>
      <c r="G10" s="35">
        <f t="shared" si="0"/>
        <v>80143.000000000015</v>
      </c>
      <c r="H10" s="35">
        <f t="shared" si="1"/>
        <v>0</v>
      </c>
      <c r="I10" s="35">
        <f t="shared" si="2"/>
        <v>0</v>
      </c>
      <c r="J10" s="35">
        <f t="shared" si="3"/>
        <v>-554.92920000000004</v>
      </c>
      <c r="K10" s="35">
        <f t="shared" si="4"/>
        <v>79588.070800000016</v>
      </c>
      <c r="L10" s="35">
        <f t="shared" si="5"/>
        <v>15121.733452000004</v>
      </c>
      <c r="M10" s="35">
        <f>IF(mtm=FALSE, SUM($G$8:G10), 0)</f>
        <v>0</v>
      </c>
      <c r="N10" s="35">
        <f t="shared" ref="N10:N73" si="17">vpb_2*M10</f>
        <v>0</v>
      </c>
      <c r="O10" s="35">
        <f t="shared" ref="O10:O73" si="18">H10</f>
        <v>0</v>
      </c>
      <c r="P10" s="35">
        <f t="shared" ref="P10:P73" si="19">I10</f>
        <v>0</v>
      </c>
      <c r="Q10" s="35">
        <f t="shared" ref="Q10:Q73" si="20">J10</f>
        <v>-554.92920000000004</v>
      </c>
      <c r="R10" s="35">
        <f t="shared" si="11"/>
        <v>15121.733452000004</v>
      </c>
      <c r="S10" s="35">
        <f t="shared" ref="S10:S73" si="21">O10+P10+Q10-R10</f>
        <v>-15676.662652000005</v>
      </c>
      <c r="T10" s="35">
        <f t="shared" si="12"/>
        <v>1181619.8773480002</v>
      </c>
      <c r="U10" s="35">
        <f t="shared" si="13"/>
        <v>1000000</v>
      </c>
      <c r="V10" s="35">
        <f t="shared" si="8"/>
        <v>51947.16197788006</v>
      </c>
      <c r="W10" s="35">
        <f t="shared" si="14"/>
        <v>1129672.71537012</v>
      </c>
    </row>
    <row r="11" spans="3:27" x14ac:dyDescent="0.25">
      <c r="C11" s="34">
        <f t="shared" si="15"/>
        <v>47119</v>
      </c>
      <c r="D11" s="35">
        <f t="shared" si="9"/>
        <v>1225043</v>
      </c>
      <c r="E11" s="35">
        <f t="shared" si="16"/>
        <v>0</v>
      </c>
      <c r="F11" s="35">
        <f t="shared" si="10"/>
        <v>-43423.122652000005</v>
      </c>
      <c r="G11" s="35">
        <f t="shared" si="0"/>
        <v>85753.010000000009</v>
      </c>
      <c r="H11" s="35">
        <f t="shared" si="1"/>
        <v>0</v>
      </c>
      <c r="I11" s="35">
        <f t="shared" si="2"/>
        <v>0</v>
      </c>
      <c r="J11" s="35">
        <f t="shared" si="3"/>
        <v>-868.46245304000013</v>
      </c>
      <c r="K11" s="35">
        <f t="shared" si="4"/>
        <v>84884.547546960006</v>
      </c>
      <c r="L11" s="35">
        <f t="shared" si="5"/>
        <v>16128.064033922401</v>
      </c>
      <c r="M11" s="35">
        <f>IF(mtm=FALSE, SUM($G$8:G11), 0)</f>
        <v>0</v>
      </c>
      <c r="N11" s="35">
        <f t="shared" si="17"/>
        <v>0</v>
      </c>
      <c r="O11" s="35">
        <f t="shared" si="18"/>
        <v>0</v>
      </c>
      <c r="P11" s="35">
        <f t="shared" si="19"/>
        <v>0</v>
      </c>
      <c r="Q11" s="35">
        <f t="shared" si="20"/>
        <v>-868.46245304000013</v>
      </c>
      <c r="R11" s="35">
        <f t="shared" si="11"/>
        <v>16128.064033922401</v>
      </c>
      <c r="S11" s="35">
        <f t="shared" si="21"/>
        <v>-16996.526486962401</v>
      </c>
      <c r="T11" s="35">
        <f t="shared" si="12"/>
        <v>1250376.3608610374</v>
      </c>
      <c r="U11" s="35">
        <f t="shared" si="13"/>
        <v>1000000</v>
      </c>
      <c r="V11" s="35">
        <f t="shared" si="8"/>
        <v>73261.671866921592</v>
      </c>
      <c r="W11" s="35">
        <f t="shared" si="14"/>
        <v>1177114.6889941157</v>
      </c>
    </row>
    <row r="12" spans="3:27" x14ac:dyDescent="0.25">
      <c r="C12" s="34">
        <f t="shared" si="15"/>
        <v>47484</v>
      </c>
      <c r="D12" s="35">
        <f t="shared" si="9"/>
        <v>1310796.01</v>
      </c>
      <c r="E12" s="35">
        <f t="shared" si="16"/>
        <v>0</v>
      </c>
      <c r="F12" s="35">
        <f t="shared" si="10"/>
        <v>-60419.649138962406</v>
      </c>
      <c r="G12" s="35">
        <f t="shared" si="0"/>
        <v>91755.720700000005</v>
      </c>
      <c r="H12" s="35">
        <f t="shared" si="1"/>
        <v>0</v>
      </c>
      <c r="I12" s="35">
        <f t="shared" si="2"/>
        <v>0</v>
      </c>
      <c r="J12" s="35">
        <f t="shared" si="3"/>
        <v>-1208.3929827792481</v>
      </c>
      <c r="K12" s="35">
        <f t="shared" si="4"/>
        <v>90547.32771722076</v>
      </c>
      <c r="L12" s="35">
        <f t="shared" si="5"/>
        <v>17203.992266271944</v>
      </c>
      <c r="M12" s="35">
        <f>IF(mtm=FALSE, SUM($G$8:G12), 0)</f>
        <v>0</v>
      </c>
      <c r="N12" s="35">
        <f t="shared" si="17"/>
        <v>0</v>
      </c>
      <c r="O12" s="35">
        <f t="shared" si="18"/>
        <v>0</v>
      </c>
      <c r="P12" s="35">
        <f t="shared" si="19"/>
        <v>0</v>
      </c>
      <c r="Q12" s="35">
        <f t="shared" si="20"/>
        <v>-1208.3929827792481</v>
      </c>
      <c r="R12" s="35">
        <f t="shared" si="11"/>
        <v>17203.992266271944</v>
      </c>
      <c r="S12" s="35">
        <f t="shared" si="21"/>
        <v>-18412.385249051193</v>
      </c>
      <c r="T12" s="35">
        <f t="shared" si="12"/>
        <v>1323719.6963119863</v>
      </c>
      <c r="U12" s="35">
        <f t="shared" si="13"/>
        <v>1000000</v>
      </c>
      <c r="V12" s="35">
        <f t="shared" si="8"/>
        <v>95998.10585671576</v>
      </c>
      <c r="W12" s="35">
        <f t="shared" si="14"/>
        <v>1227721.5904552706</v>
      </c>
    </row>
    <row r="13" spans="3:27" x14ac:dyDescent="0.25">
      <c r="C13" s="34">
        <f t="shared" si="15"/>
        <v>47849</v>
      </c>
      <c r="D13" s="35">
        <f t="shared" si="9"/>
        <v>1402551.7307</v>
      </c>
      <c r="E13" s="35">
        <f t="shared" si="16"/>
        <v>0</v>
      </c>
      <c r="F13" s="35">
        <f t="shared" si="10"/>
        <v>-78832.034388013592</v>
      </c>
      <c r="G13" s="35">
        <f t="shared" si="0"/>
        <v>98178.621149000013</v>
      </c>
      <c r="H13" s="35">
        <f t="shared" si="1"/>
        <v>0</v>
      </c>
      <c r="I13" s="35">
        <f t="shared" si="2"/>
        <v>0</v>
      </c>
      <c r="J13" s="35">
        <f t="shared" si="3"/>
        <v>-1576.6406877602719</v>
      </c>
      <c r="K13" s="35">
        <f t="shared" si="4"/>
        <v>96601.980461239742</v>
      </c>
      <c r="L13" s="35">
        <f t="shared" si="5"/>
        <v>18354.37628763555</v>
      </c>
      <c r="M13" s="35">
        <f>IF(mtm=FALSE, SUM($G$8:G13), 0)</f>
        <v>0</v>
      </c>
      <c r="N13" s="35">
        <f t="shared" si="17"/>
        <v>0</v>
      </c>
      <c r="O13" s="35">
        <f t="shared" si="18"/>
        <v>0</v>
      </c>
      <c r="P13" s="35">
        <f t="shared" si="19"/>
        <v>0</v>
      </c>
      <c r="Q13" s="35">
        <f t="shared" si="20"/>
        <v>-1576.6406877602719</v>
      </c>
      <c r="R13" s="35">
        <f t="shared" si="11"/>
        <v>18354.37628763555</v>
      </c>
      <c r="S13" s="35">
        <f t="shared" si="21"/>
        <v>-19931.016975395822</v>
      </c>
      <c r="T13" s="35">
        <f t="shared" si="12"/>
        <v>1401967.3004855905</v>
      </c>
      <c r="U13" s="35">
        <f t="shared" si="13"/>
        <v>1000000</v>
      </c>
      <c r="V13" s="35">
        <f t="shared" si="8"/>
        <v>120254.86315053304</v>
      </c>
      <c r="W13" s="35">
        <f t="shared" si="14"/>
        <v>1281712.4373350574</v>
      </c>
    </row>
    <row r="14" spans="3:27" x14ac:dyDescent="0.25">
      <c r="C14" s="34">
        <f t="shared" si="15"/>
        <v>48214</v>
      </c>
      <c r="D14" s="35">
        <f t="shared" si="9"/>
        <v>1500730.351849</v>
      </c>
      <c r="E14" s="35">
        <f t="shared" si="16"/>
        <v>0</v>
      </c>
      <c r="F14" s="35">
        <f t="shared" si="10"/>
        <v>-98763.05136340941</v>
      </c>
      <c r="G14" s="35">
        <f t="shared" si="0"/>
        <v>105051.12462943001</v>
      </c>
      <c r="H14" s="35">
        <f t="shared" si="1"/>
        <v>0</v>
      </c>
      <c r="I14" s="35">
        <f t="shared" si="2"/>
        <v>0</v>
      </c>
      <c r="J14" s="35">
        <f t="shared" si="3"/>
        <v>-1975.2610272681882</v>
      </c>
      <c r="K14" s="35">
        <f t="shared" si="4"/>
        <v>103075.86360216181</v>
      </c>
      <c r="L14" s="35">
        <f t="shared" si="5"/>
        <v>19584.414084410746</v>
      </c>
      <c r="M14" s="35">
        <f>IF(mtm=FALSE, SUM($G$8:G14), 0)</f>
        <v>0</v>
      </c>
      <c r="N14" s="35">
        <f t="shared" si="17"/>
        <v>0</v>
      </c>
      <c r="O14" s="35">
        <f t="shared" si="18"/>
        <v>0</v>
      </c>
      <c r="P14" s="35">
        <f t="shared" si="19"/>
        <v>0</v>
      </c>
      <c r="Q14" s="35">
        <f t="shared" si="20"/>
        <v>-1975.2610272681882</v>
      </c>
      <c r="R14" s="35">
        <f t="shared" si="11"/>
        <v>19584.414084410746</v>
      </c>
      <c r="S14" s="35">
        <f t="shared" si="21"/>
        <v>-21559.675111678935</v>
      </c>
      <c r="T14" s="35">
        <f t="shared" si="12"/>
        <v>1485458.7500033416</v>
      </c>
      <c r="U14" s="35">
        <f t="shared" si="13"/>
        <v>1000000</v>
      </c>
      <c r="V14" s="35">
        <f t="shared" si="8"/>
        <v>146137.21250103589</v>
      </c>
      <c r="W14" s="35">
        <f t="shared" si="14"/>
        <v>1339321.5375023056</v>
      </c>
    </row>
    <row r="15" spans="3:27" x14ac:dyDescent="0.25">
      <c r="C15" s="34">
        <f t="shared" si="15"/>
        <v>48580</v>
      </c>
      <c r="D15" s="35">
        <f t="shared" si="9"/>
        <v>1605781.47647843</v>
      </c>
      <c r="E15" s="35">
        <f t="shared" si="16"/>
        <v>0</v>
      </c>
      <c r="F15" s="35">
        <f t="shared" si="10"/>
        <v>-120322.72647508835</v>
      </c>
      <c r="G15" s="35">
        <f t="shared" si="0"/>
        <v>112404.70335349011</v>
      </c>
      <c r="H15" s="35">
        <f t="shared" si="1"/>
        <v>0</v>
      </c>
      <c r="I15" s="35">
        <f t="shared" si="2"/>
        <v>0</v>
      </c>
      <c r="J15" s="35">
        <f t="shared" si="3"/>
        <v>-2406.454529501767</v>
      </c>
      <c r="K15" s="35">
        <f t="shared" si="4"/>
        <v>109998.24882398834</v>
      </c>
      <c r="L15" s="35">
        <f t="shared" si="5"/>
        <v>20899.667276557786</v>
      </c>
      <c r="M15" s="35">
        <f>IF(mtm=FALSE, SUM($G$8:G15), 0)</f>
        <v>0</v>
      </c>
      <c r="N15" s="35">
        <f t="shared" si="17"/>
        <v>0</v>
      </c>
      <c r="O15" s="35">
        <f t="shared" si="18"/>
        <v>0</v>
      </c>
      <c r="P15" s="35">
        <f t="shared" si="19"/>
        <v>0</v>
      </c>
      <c r="Q15" s="35">
        <f t="shared" si="20"/>
        <v>-2406.454529501767</v>
      </c>
      <c r="R15" s="35">
        <f t="shared" si="11"/>
        <v>20899.667276557786</v>
      </c>
      <c r="S15" s="35">
        <f t="shared" si="21"/>
        <v>-23306.121806059553</v>
      </c>
      <c r="T15" s="35">
        <f t="shared" si="12"/>
        <v>1574557.3315507723</v>
      </c>
      <c r="U15" s="35">
        <f t="shared" si="13"/>
        <v>1000000</v>
      </c>
      <c r="V15" s="35">
        <f t="shared" si="8"/>
        <v>173757.77278073941</v>
      </c>
      <c r="W15" s="35">
        <f t="shared" si="14"/>
        <v>1400799.5587700328</v>
      </c>
    </row>
    <row r="16" spans="3:27" x14ac:dyDescent="0.25">
      <c r="C16" s="34">
        <f t="shared" si="15"/>
        <v>48945</v>
      </c>
      <c r="D16" s="35">
        <f t="shared" si="9"/>
        <v>1718186.1798319202</v>
      </c>
      <c r="E16" s="35">
        <f t="shared" si="16"/>
        <v>0</v>
      </c>
      <c r="F16" s="35">
        <f t="shared" si="10"/>
        <v>-143628.84828114789</v>
      </c>
      <c r="G16" s="35">
        <f t="shared" si="0"/>
        <v>120273.03258823442</v>
      </c>
      <c r="H16" s="35">
        <f t="shared" si="1"/>
        <v>0</v>
      </c>
      <c r="I16" s="35">
        <f t="shared" si="2"/>
        <v>0</v>
      </c>
      <c r="J16" s="35">
        <f t="shared" si="3"/>
        <v>-2872.5769656229577</v>
      </c>
      <c r="K16" s="35">
        <f t="shared" si="4"/>
        <v>117400.45562261147</v>
      </c>
      <c r="L16" s="35">
        <f t="shared" si="5"/>
        <v>22306.086568296178</v>
      </c>
      <c r="M16" s="35">
        <f>IF(mtm=FALSE, SUM($G$8:G16), 0)</f>
        <v>0</v>
      </c>
      <c r="N16" s="35">
        <f t="shared" si="17"/>
        <v>0</v>
      </c>
      <c r="O16" s="35">
        <f t="shared" si="18"/>
        <v>0</v>
      </c>
      <c r="P16" s="35">
        <f t="shared" si="19"/>
        <v>0</v>
      </c>
      <c r="Q16" s="35">
        <f t="shared" si="20"/>
        <v>-2872.5769656229577</v>
      </c>
      <c r="R16" s="35">
        <f t="shared" si="11"/>
        <v>22306.086568296178</v>
      </c>
      <c r="S16" s="35">
        <f t="shared" si="21"/>
        <v>-25178.663533919134</v>
      </c>
      <c r="T16" s="35">
        <f t="shared" si="12"/>
        <v>1669651.7006050874</v>
      </c>
      <c r="U16" s="35">
        <f t="shared" si="13"/>
        <v>1000000</v>
      </c>
      <c r="V16" s="35">
        <f t="shared" si="8"/>
        <v>203237.0271875771</v>
      </c>
      <c r="W16" s="35">
        <f t="shared" si="14"/>
        <v>1466414.6734175105</v>
      </c>
      <c r="Z16" s="58"/>
      <c r="AA16" s="57"/>
    </row>
    <row r="17" spans="3:27" x14ac:dyDescent="0.25">
      <c r="C17" s="34">
        <f t="shared" si="15"/>
        <v>49310</v>
      </c>
      <c r="D17" s="35">
        <f t="shared" si="9"/>
        <v>1838459.2124201546</v>
      </c>
      <c r="E17" s="35">
        <f t="shared" si="16"/>
        <v>0</v>
      </c>
      <c r="F17" s="35">
        <f t="shared" si="10"/>
        <v>-168807.51181506703</v>
      </c>
      <c r="G17" s="35">
        <f t="shared" si="0"/>
        <v>128692.14486941084</v>
      </c>
      <c r="H17" s="35">
        <f t="shared" si="1"/>
        <v>0</v>
      </c>
      <c r="I17" s="35">
        <f t="shared" si="2"/>
        <v>0</v>
      </c>
      <c r="J17" s="35">
        <f t="shared" si="3"/>
        <v>-3376.1502363013406</v>
      </c>
      <c r="K17" s="35">
        <f t="shared" si="4"/>
        <v>125315.9946331095</v>
      </c>
      <c r="L17" s="35">
        <f t="shared" si="5"/>
        <v>23810.038980290807</v>
      </c>
      <c r="M17" s="35">
        <f>IF(mtm=FALSE, SUM($G$8:G17), 0)</f>
        <v>0</v>
      </c>
      <c r="N17" s="35">
        <f t="shared" si="17"/>
        <v>0</v>
      </c>
      <c r="O17" s="35">
        <f t="shared" si="18"/>
        <v>0</v>
      </c>
      <c r="P17" s="35">
        <f t="shared" si="19"/>
        <v>0</v>
      </c>
      <c r="Q17" s="35">
        <f t="shared" si="20"/>
        <v>-3376.1502363013406</v>
      </c>
      <c r="R17" s="35">
        <f t="shared" si="11"/>
        <v>23810.038980290807</v>
      </c>
      <c r="S17" s="35">
        <f t="shared" si="21"/>
        <v>-27186.189216592145</v>
      </c>
      <c r="T17" s="35">
        <f t="shared" si="12"/>
        <v>1771157.6562579062</v>
      </c>
      <c r="U17" s="35">
        <f t="shared" si="13"/>
        <v>1000000</v>
      </c>
      <c r="V17" s="35">
        <f t="shared" si="8"/>
        <v>234703.87343995093</v>
      </c>
      <c r="W17" s="35">
        <f t="shared" si="14"/>
        <v>1536453.7828179554</v>
      </c>
      <c r="Z17" s="58"/>
    </row>
    <row r="18" spans="3:27" s="10" customFormat="1" x14ac:dyDescent="0.25">
      <c r="C18" s="59">
        <f t="shared" si="15"/>
        <v>49675</v>
      </c>
      <c r="D18" s="60">
        <f t="shared" si="9"/>
        <v>1967151.3572895655</v>
      </c>
      <c r="E18" s="60">
        <f t="shared" si="16"/>
        <v>0</v>
      </c>
      <c r="F18" s="60">
        <f t="shared" si="10"/>
        <v>-195993.70103165918</v>
      </c>
      <c r="G18" s="60">
        <f t="shared" si="0"/>
        <v>137700.59501026961</v>
      </c>
      <c r="H18" s="60">
        <f t="shared" si="1"/>
        <v>0</v>
      </c>
      <c r="I18" s="60">
        <f t="shared" si="2"/>
        <v>0</v>
      </c>
      <c r="J18" s="60">
        <f t="shared" si="3"/>
        <v>-3919.8740206331836</v>
      </c>
      <c r="K18" s="60">
        <f t="shared" si="4"/>
        <v>133780.72098963644</v>
      </c>
      <c r="L18" s="60">
        <f t="shared" si="5"/>
        <v>25418.336988030922</v>
      </c>
      <c r="M18" s="60">
        <f>IF(mtm=FALSE, SUM($G$8:G18), 0)</f>
        <v>0</v>
      </c>
      <c r="N18" s="60">
        <f t="shared" si="17"/>
        <v>0</v>
      </c>
      <c r="O18" s="60">
        <f t="shared" si="18"/>
        <v>0</v>
      </c>
      <c r="P18" s="60">
        <f t="shared" si="19"/>
        <v>0</v>
      </c>
      <c r="Q18" s="60">
        <f t="shared" si="20"/>
        <v>-3919.8740206331836</v>
      </c>
      <c r="R18" s="60">
        <f t="shared" si="11"/>
        <v>25418.336988030922</v>
      </c>
      <c r="S18" s="60">
        <f t="shared" si="21"/>
        <v>-29338.211008664104</v>
      </c>
      <c r="T18" s="60">
        <f t="shared" si="12"/>
        <v>1879520.0402595117</v>
      </c>
      <c r="U18" s="60">
        <f t="shared" si="13"/>
        <v>1000000</v>
      </c>
      <c r="V18" s="60">
        <f t="shared" si="8"/>
        <v>268296.21248044865</v>
      </c>
      <c r="W18" s="60">
        <f t="shared" si="14"/>
        <v>1611223.827779063</v>
      </c>
      <c r="Z18" s="60"/>
      <c r="AA18" s="60"/>
    </row>
    <row r="19" spans="3:27" x14ac:dyDescent="0.25">
      <c r="C19" s="34">
        <f t="shared" si="15"/>
        <v>50041</v>
      </c>
      <c r="D19" s="35">
        <f t="shared" si="9"/>
        <v>2104851.9522998352</v>
      </c>
      <c r="E19" s="35">
        <f t="shared" si="16"/>
        <v>0</v>
      </c>
      <c r="F19" s="35">
        <f t="shared" si="10"/>
        <v>-225331.91204032328</v>
      </c>
      <c r="G19" s="35">
        <f t="shared" si="0"/>
        <v>147339.63666098847</v>
      </c>
      <c r="H19" s="35">
        <f t="shared" si="1"/>
        <v>0</v>
      </c>
      <c r="I19" s="35">
        <f t="shared" si="2"/>
        <v>0</v>
      </c>
      <c r="J19" s="35">
        <f t="shared" si="3"/>
        <v>-4506.6382408064655</v>
      </c>
      <c r="K19" s="35">
        <f t="shared" si="4"/>
        <v>142832.998420182</v>
      </c>
      <c r="L19" s="35">
        <f t="shared" si="5"/>
        <v>27138.269699834582</v>
      </c>
      <c r="M19" s="35">
        <f>IF(mtm=FALSE, SUM($G$8:G19), 0)</f>
        <v>0</v>
      </c>
      <c r="N19" s="35">
        <f t="shared" si="17"/>
        <v>0</v>
      </c>
      <c r="O19" s="35">
        <f t="shared" si="18"/>
        <v>0</v>
      </c>
      <c r="P19" s="35">
        <f t="shared" si="19"/>
        <v>0</v>
      </c>
      <c r="Q19" s="35">
        <f t="shared" si="20"/>
        <v>-4506.6382408064655</v>
      </c>
      <c r="R19" s="35">
        <f t="shared" si="11"/>
        <v>27138.269699834582</v>
      </c>
      <c r="S19" s="35">
        <f t="shared" si="21"/>
        <v>-31644.907940641046</v>
      </c>
      <c r="T19" s="35">
        <f t="shared" si="12"/>
        <v>1995214.7689798593</v>
      </c>
      <c r="U19" s="35">
        <f t="shared" si="13"/>
        <v>1000000</v>
      </c>
      <c r="V19" s="35">
        <f t="shared" si="8"/>
        <v>304161.57838375639</v>
      </c>
      <c r="W19" s="35">
        <f t="shared" si="14"/>
        <v>1691053.190596103</v>
      </c>
    </row>
    <row r="20" spans="3:27" x14ac:dyDescent="0.25">
      <c r="C20" s="34">
        <f t="shared" si="15"/>
        <v>50406</v>
      </c>
      <c r="D20" s="35">
        <f t="shared" si="9"/>
        <v>2252191.5889608236</v>
      </c>
      <c r="E20" s="35">
        <f t="shared" si="16"/>
        <v>0</v>
      </c>
      <c r="F20" s="35">
        <f t="shared" si="10"/>
        <v>-256976.81998096433</v>
      </c>
      <c r="G20" s="35">
        <f t="shared" si="0"/>
        <v>157653.41122725766</v>
      </c>
      <c r="H20" s="35">
        <f t="shared" si="1"/>
        <v>0</v>
      </c>
      <c r="I20" s="35">
        <f t="shared" si="2"/>
        <v>0</v>
      </c>
      <c r="J20" s="35">
        <f t="shared" si="3"/>
        <v>-5139.5363996192864</v>
      </c>
      <c r="K20" s="35">
        <f t="shared" si="4"/>
        <v>152513.87482763838</v>
      </c>
      <c r="L20" s="35">
        <f t="shared" si="5"/>
        <v>28977.636217251293</v>
      </c>
      <c r="M20" s="35">
        <f>IF(mtm=FALSE, SUM($G$8:G20), 0)</f>
        <v>0</v>
      </c>
      <c r="N20" s="35">
        <f t="shared" si="17"/>
        <v>0</v>
      </c>
      <c r="O20" s="35">
        <f t="shared" si="18"/>
        <v>0</v>
      </c>
      <c r="P20" s="35">
        <f t="shared" si="19"/>
        <v>0</v>
      </c>
      <c r="Q20" s="35">
        <f t="shared" si="20"/>
        <v>-5139.5363996192864</v>
      </c>
      <c r="R20" s="35">
        <f t="shared" si="11"/>
        <v>28977.636217251293</v>
      </c>
      <c r="S20" s="35">
        <f t="shared" si="21"/>
        <v>-34117.172616870579</v>
      </c>
      <c r="T20" s="35">
        <f t="shared" si="12"/>
        <v>2118751.0075902464</v>
      </c>
      <c r="U20" s="35">
        <f t="shared" si="13"/>
        <v>1000000</v>
      </c>
      <c r="V20" s="35">
        <f t="shared" si="8"/>
        <v>342457.81235297635</v>
      </c>
      <c r="W20" s="35">
        <f t="shared" si="14"/>
        <v>1776293.1952372701</v>
      </c>
    </row>
    <row r="21" spans="3:27" x14ac:dyDescent="0.25">
      <c r="C21" s="34">
        <f t="shared" si="15"/>
        <v>50771</v>
      </c>
      <c r="D21" s="35">
        <f t="shared" si="9"/>
        <v>2409845.0001880811</v>
      </c>
      <c r="E21" s="35">
        <f t="shared" si="16"/>
        <v>0</v>
      </c>
      <c r="F21" s="35">
        <f t="shared" si="10"/>
        <v>-291093.99259783491</v>
      </c>
      <c r="G21" s="35">
        <f t="shared" si="0"/>
        <v>168689.15001316569</v>
      </c>
      <c r="H21" s="35">
        <f t="shared" si="1"/>
        <v>0</v>
      </c>
      <c r="I21" s="35">
        <f t="shared" si="2"/>
        <v>0</v>
      </c>
      <c r="J21" s="35">
        <f t="shared" si="3"/>
        <v>-5821.8798519566981</v>
      </c>
      <c r="K21" s="35">
        <f t="shared" si="4"/>
        <v>162867.27016120899</v>
      </c>
      <c r="L21" s="35">
        <f t="shared" si="5"/>
        <v>30944.781330629707</v>
      </c>
      <c r="M21" s="35">
        <f>IF(mtm=FALSE, SUM($G$8:G21), 0)</f>
        <v>0</v>
      </c>
      <c r="N21" s="35">
        <f t="shared" si="17"/>
        <v>0</v>
      </c>
      <c r="O21" s="35">
        <f t="shared" si="18"/>
        <v>0</v>
      </c>
      <c r="P21" s="35">
        <f t="shared" si="19"/>
        <v>0</v>
      </c>
      <c r="Q21" s="35">
        <f t="shared" si="20"/>
        <v>-5821.8798519566981</v>
      </c>
      <c r="R21" s="35">
        <f t="shared" si="11"/>
        <v>30944.781330629707</v>
      </c>
      <c r="S21" s="35">
        <f t="shared" si="21"/>
        <v>-36766.661182586402</v>
      </c>
      <c r="T21" s="35">
        <f t="shared" si="12"/>
        <v>2250673.4964208254</v>
      </c>
      <c r="U21" s="35">
        <f t="shared" si="13"/>
        <v>1000000</v>
      </c>
      <c r="V21" s="35">
        <f t="shared" si="8"/>
        <v>383353.78389045584</v>
      </c>
      <c r="W21" s="35">
        <f t="shared" si="14"/>
        <v>1867319.7125303694</v>
      </c>
    </row>
    <row r="22" spans="3:27" x14ac:dyDescent="0.25">
      <c r="C22" s="34">
        <f t="shared" si="15"/>
        <v>51136</v>
      </c>
      <c r="D22" s="35">
        <f t="shared" si="9"/>
        <v>2578534.1502012466</v>
      </c>
      <c r="E22" s="35">
        <f t="shared" si="16"/>
        <v>0</v>
      </c>
      <c r="F22" s="35">
        <f t="shared" si="10"/>
        <v>-327860.6537804213</v>
      </c>
      <c r="G22" s="35">
        <f t="shared" si="0"/>
        <v>180497.39051408728</v>
      </c>
      <c r="H22" s="35">
        <f t="shared" si="1"/>
        <v>0</v>
      </c>
      <c r="I22" s="35">
        <f t="shared" si="2"/>
        <v>0</v>
      </c>
      <c r="J22" s="35">
        <f t="shared" si="3"/>
        <v>-6557.2130756084262</v>
      </c>
      <c r="K22" s="35">
        <f t="shared" si="4"/>
        <v>173940.17743847886</v>
      </c>
      <c r="L22" s="35">
        <f t="shared" si="5"/>
        <v>33048.633713310985</v>
      </c>
      <c r="M22" s="35">
        <f>IF(mtm=FALSE, SUM($G$8:G22), 0)</f>
        <v>0</v>
      </c>
      <c r="N22" s="35">
        <f t="shared" si="17"/>
        <v>0</v>
      </c>
      <c r="O22" s="35">
        <f t="shared" si="18"/>
        <v>0</v>
      </c>
      <c r="P22" s="35">
        <f t="shared" si="19"/>
        <v>0</v>
      </c>
      <c r="Q22" s="35">
        <f t="shared" si="20"/>
        <v>-6557.2130756084262</v>
      </c>
      <c r="R22" s="35">
        <f t="shared" si="11"/>
        <v>33048.633713310985</v>
      </c>
      <c r="S22" s="35">
        <f t="shared" si="21"/>
        <v>-39605.846788919414</v>
      </c>
      <c r="T22" s="35">
        <f t="shared" si="12"/>
        <v>2391565.0401459932</v>
      </c>
      <c r="U22" s="35">
        <f t="shared" si="13"/>
        <v>1000000</v>
      </c>
      <c r="V22" s="35">
        <f t="shared" si="8"/>
        <v>427030.16244525788</v>
      </c>
      <c r="W22" s="35">
        <f t="shared" si="14"/>
        <v>1964534.8777007353</v>
      </c>
    </row>
    <row r="23" spans="3:27" x14ac:dyDescent="0.25">
      <c r="C23" s="34">
        <f t="shared" si="15"/>
        <v>51502</v>
      </c>
      <c r="D23" s="35">
        <f t="shared" si="9"/>
        <v>2759031.540715334</v>
      </c>
      <c r="E23" s="35">
        <f t="shared" si="16"/>
        <v>0</v>
      </c>
      <c r="F23" s="35">
        <f t="shared" si="10"/>
        <v>-367466.50056934071</v>
      </c>
      <c r="G23" s="35">
        <f t="shared" si="0"/>
        <v>193132.20785007341</v>
      </c>
      <c r="H23" s="35">
        <f t="shared" si="1"/>
        <v>0</v>
      </c>
      <c r="I23" s="35">
        <f t="shared" si="2"/>
        <v>0</v>
      </c>
      <c r="J23" s="35">
        <f t="shared" si="3"/>
        <v>-7349.3300113868145</v>
      </c>
      <c r="K23" s="35">
        <f t="shared" si="4"/>
        <v>185782.8778386866</v>
      </c>
      <c r="L23" s="35">
        <f t="shared" si="5"/>
        <v>35298.746789350458</v>
      </c>
      <c r="M23" s="35">
        <f>IF(mtm=FALSE, SUM($G$8:G23), 0)</f>
        <v>0</v>
      </c>
      <c r="N23" s="35">
        <f t="shared" si="17"/>
        <v>0</v>
      </c>
      <c r="O23" s="35">
        <f t="shared" si="18"/>
        <v>0</v>
      </c>
      <c r="P23" s="35">
        <f t="shared" si="19"/>
        <v>0</v>
      </c>
      <c r="Q23" s="35">
        <f t="shared" si="20"/>
        <v>-7349.3300113868145</v>
      </c>
      <c r="R23" s="35">
        <f t="shared" si="11"/>
        <v>35298.746789350458</v>
      </c>
      <c r="S23" s="35">
        <f t="shared" si="21"/>
        <v>-42648.076800737275</v>
      </c>
      <c r="T23" s="35">
        <f t="shared" si="12"/>
        <v>2542049.1711953292</v>
      </c>
      <c r="U23" s="35">
        <f t="shared" si="13"/>
        <v>1000000</v>
      </c>
      <c r="V23" s="35">
        <f t="shared" si="8"/>
        <v>473680.24307055207</v>
      </c>
      <c r="W23" s="35">
        <f t="shared" si="14"/>
        <v>2068368.928124777</v>
      </c>
    </row>
    <row r="24" spans="3:27" x14ac:dyDescent="0.25">
      <c r="C24" s="34">
        <f t="shared" si="15"/>
        <v>51867</v>
      </c>
      <c r="D24" s="35">
        <f t="shared" si="9"/>
        <v>2952163.7485654075</v>
      </c>
      <c r="E24" s="35">
        <f t="shared" si="16"/>
        <v>0</v>
      </c>
      <c r="F24" s="35">
        <f t="shared" si="10"/>
        <v>-410114.57737007801</v>
      </c>
      <c r="G24" s="35">
        <f t="shared" si="0"/>
        <v>206651.46239957854</v>
      </c>
      <c r="H24" s="35">
        <f t="shared" si="1"/>
        <v>0</v>
      </c>
      <c r="I24" s="35">
        <f t="shared" si="2"/>
        <v>0</v>
      </c>
      <c r="J24" s="35">
        <f t="shared" si="3"/>
        <v>-8202.2915474015608</v>
      </c>
      <c r="K24" s="35">
        <f t="shared" si="4"/>
        <v>198449.17085217696</v>
      </c>
      <c r="L24" s="35">
        <f t="shared" si="5"/>
        <v>37705.34246191362</v>
      </c>
      <c r="M24" s="35">
        <f>IF(mtm=FALSE, SUM($G$8:G24), 0)</f>
        <v>0</v>
      </c>
      <c r="N24" s="35">
        <f t="shared" si="17"/>
        <v>0</v>
      </c>
      <c r="O24" s="35">
        <f t="shared" si="18"/>
        <v>0</v>
      </c>
      <c r="P24" s="35">
        <f t="shared" si="19"/>
        <v>0</v>
      </c>
      <c r="Q24" s="35">
        <f t="shared" si="20"/>
        <v>-8202.2915474015608</v>
      </c>
      <c r="R24" s="35">
        <f t="shared" si="11"/>
        <v>37705.34246191362</v>
      </c>
      <c r="S24" s="35">
        <f t="shared" si="21"/>
        <v>-45907.634009315181</v>
      </c>
      <c r="T24" s="35">
        <f t="shared" si="12"/>
        <v>2702792.9995855931</v>
      </c>
      <c r="U24" s="35">
        <f t="shared" si="13"/>
        <v>1000000</v>
      </c>
      <c r="V24" s="35">
        <f t="shared" si="8"/>
        <v>523510.82987153385</v>
      </c>
      <c r="W24" s="35">
        <f t="shared" si="14"/>
        <v>2179282.1697140592</v>
      </c>
    </row>
    <row r="25" spans="3:27" x14ac:dyDescent="0.25">
      <c r="C25" s="34">
        <f t="shared" si="15"/>
        <v>52232</v>
      </c>
      <c r="D25" s="35">
        <f t="shared" si="9"/>
        <v>3158815.2109649861</v>
      </c>
      <c r="E25" s="35">
        <f t="shared" si="16"/>
        <v>0</v>
      </c>
      <c r="F25" s="35">
        <f t="shared" si="10"/>
        <v>-456022.21137939318</v>
      </c>
      <c r="G25" s="35">
        <f t="shared" si="0"/>
        <v>221117.06476754905</v>
      </c>
      <c r="H25" s="35">
        <f t="shared" si="1"/>
        <v>0</v>
      </c>
      <c r="I25" s="35">
        <f t="shared" si="2"/>
        <v>0</v>
      </c>
      <c r="J25" s="35">
        <f t="shared" si="3"/>
        <v>-9120.4442275878646</v>
      </c>
      <c r="K25" s="35">
        <f t="shared" si="4"/>
        <v>211996.62053996118</v>
      </c>
      <c r="L25" s="35">
        <f t="shared" si="5"/>
        <v>41095.128099309986</v>
      </c>
      <c r="M25" s="35">
        <f>IF(mtm=FALSE, SUM($G$8:G25), 0)</f>
        <v>0</v>
      </c>
      <c r="N25" s="35">
        <f t="shared" si="17"/>
        <v>0</v>
      </c>
      <c r="O25" s="35">
        <f t="shared" si="18"/>
        <v>0</v>
      </c>
      <c r="P25" s="35">
        <f t="shared" si="19"/>
        <v>0</v>
      </c>
      <c r="Q25" s="35">
        <f t="shared" si="20"/>
        <v>-9120.4442275878646</v>
      </c>
      <c r="R25" s="35">
        <f t="shared" si="11"/>
        <v>41095.128099309986</v>
      </c>
      <c r="S25" s="35">
        <f t="shared" si="21"/>
        <v>-50215.572326897847</v>
      </c>
      <c r="T25" s="35">
        <f t="shared" si="12"/>
        <v>2873694.4920262438</v>
      </c>
      <c r="U25" s="35">
        <f t="shared" si="13"/>
        <v>1000000</v>
      </c>
      <c r="V25" s="35">
        <f t="shared" si="8"/>
        <v>576490.29252813559</v>
      </c>
      <c r="W25" s="35">
        <f t="shared" si="14"/>
        <v>2297204.1994981081</v>
      </c>
    </row>
    <row r="26" spans="3:27" x14ac:dyDescent="0.25">
      <c r="C26" s="34">
        <f t="shared" si="15"/>
        <v>52597</v>
      </c>
      <c r="D26" s="35">
        <f t="shared" si="9"/>
        <v>3379932.2757325349</v>
      </c>
      <c r="E26" s="35">
        <f t="shared" si="16"/>
        <v>0</v>
      </c>
      <c r="F26" s="35">
        <f t="shared" si="10"/>
        <v>-506237.783706291</v>
      </c>
      <c r="G26" s="35">
        <f t="shared" si="0"/>
        <v>236595.25930127746</v>
      </c>
      <c r="H26" s="35">
        <f t="shared" si="1"/>
        <v>0</v>
      </c>
      <c r="I26" s="35">
        <f t="shared" si="2"/>
        <v>0</v>
      </c>
      <c r="J26" s="35">
        <f t="shared" si="3"/>
        <v>-10124.755674125819</v>
      </c>
      <c r="K26" s="35">
        <f t="shared" si="4"/>
        <v>226470.50362715163</v>
      </c>
      <c r="L26" s="35">
        <f t="shared" si="5"/>
        <v>44829.38993580512</v>
      </c>
      <c r="M26" s="35">
        <f>IF(mtm=FALSE, SUM($G$8:G26), 0)</f>
        <v>0</v>
      </c>
      <c r="N26" s="35">
        <f t="shared" si="17"/>
        <v>0</v>
      </c>
      <c r="O26" s="35">
        <f t="shared" si="18"/>
        <v>0</v>
      </c>
      <c r="P26" s="35">
        <f t="shared" si="19"/>
        <v>0</v>
      </c>
      <c r="Q26" s="35">
        <f t="shared" si="20"/>
        <v>-10124.755674125819</v>
      </c>
      <c r="R26" s="35">
        <f t="shared" si="11"/>
        <v>44829.38993580512</v>
      </c>
      <c r="S26" s="35">
        <f t="shared" si="21"/>
        <v>-54954.145609930943</v>
      </c>
      <c r="T26" s="35">
        <f t="shared" si="12"/>
        <v>3055335.6057175905</v>
      </c>
      <c r="U26" s="35">
        <f t="shared" si="13"/>
        <v>1000000</v>
      </c>
      <c r="V26" s="35">
        <f t="shared" si="8"/>
        <v>632799.03777245304</v>
      </c>
      <c r="W26" s="35">
        <f t="shared" si="14"/>
        <v>2422536.5679451376</v>
      </c>
    </row>
    <row r="27" spans="3:27" x14ac:dyDescent="0.25">
      <c r="C27" s="34">
        <f t="shared" si="15"/>
        <v>52963</v>
      </c>
      <c r="D27" s="35">
        <f t="shared" si="9"/>
        <v>3616527.5350338123</v>
      </c>
      <c r="E27" s="35">
        <f t="shared" si="16"/>
        <v>0</v>
      </c>
      <c r="F27" s="35">
        <f t="shared" si="10"/>
        <v>-561191.92931622197</v>
      </c>
      <c r="G27" s="35">
        <f t="shared" si="0"/>
        <v>253156.92745236689</v>
      </c>
      <c r="H27" s="35">
        <f t="shared" si="1"/>
        <v>0</v>
      </c>
      <c r="I27" s="35">
        <f t="shared" si="2"/>
        <v>0</v>
      </c>
      <c r="J27" s="35">
        <f t="shared" si="3"/>
        <v>-11223.83858632444</v>
      </c>
      <c r="K27" s="35">
        <f t="shared" si="4"/>
        <v>241933.08886604244</v>
      </c>
      <c r="L27" s="35">
        <f t="shared" si="5"/>
        <v>48818.736927438949</v>
      </c>
      <c r="M27" s="35">
        <f>IF(mtm=FALSE, SUM($G$8:G27), 0)</f>
        <v>0</v>
      </c>
      <c r="N27" s="35">
        <f t="shared" si="17"/>
        <v>0</v>
      </c>
      <c r="O27" s="35">
        <f t="shared" si="18"/>
        <v>0</v>
      </c>
      <c r="P27" s="35">
        <f t="shared" si="19"/>
        <v>0</v>
      </c>
      <c r="Q27" s="35">
        <f t="shared" si="20"/>
        <v>-11223.83858632444</v>
      </c>
      <c r="R27" s="35">
        <f t="shared" si="11"/>
        <v>48818.736927438949</v>
      </c>
      <c r="S27" s="35">
        <f t="shared" si="21"/>
        <v>-60042.57551376339</v>
      </c>
      <c r="T27" s="35">
        <f t="shared" si="12"/>
        <v>3248449.9576561935</v>
      </c>
      <c r="U27" s="35">
        <f t="shared" si="13"/>
        <v>1000000</v>
      </c>
      <c r="V27" s="35">
        <f t="shared" si="8"/>
        <v>692664.48687341996</v>
      </c>
      <c r="W27" s="35">
        <f t="shared" si="14"/>
        <v>2555785.4707827736</v>
      </c>
    </row>
    <row r="28" spans="3:27" s="10" customFormat="1" x14ac:dyDescent="0.25">
      <c r="C28" s="59">
        <f t="shared" si="15"/>
        <v>53328</v>
      </c>
      <c r="D28" s="60">
        <f t="shared" si="9"/>
        <v>3869684.4624861791</v>
      </c>
      <c r="E28" s="60">
        <f t="shared" si="16"/>
        <v>0</v>
      </c>
      <c r="F28" s="60">
        <f t="shared" si="10"/>
        <v>-621234.50482998532</v>
      </c>
      <c r="G28" s="60">
        <f t="shared" si="0"/>
        <v>270877.91237403254</v>
      </c>
      <c r="H28" s="60">
        <f t="shared" si="1"/>
        <v>0</v>
      </c>
      <c r="I28" s="60">
        <f t="shared" si="2"/>
        <v>0</v>
      </c>
      <c r="J28" s="60">
        <f t="shared" si="3"/>
        <v>-12424.690096599707</v>
      </c>
      <c r="K28" s="60">
        <f t="shared" si="4"/>
        <v>258453.22227743283</v>
      </c>
      <c r="L28" s="60">
        <f t="shared" si="5"/>
        <v>53080.931347577673</v>
      </c>
      <c r="M28" s="60">
        <f>IF(mtm=FALSE, SUM($G$8:G28), 0)</f>
        <v>0</v>
      </c>
      <c r="N28" s="60">
        <f t="shared" si="17"/>
        <v>0</v>
      </c>
      <c r="O28" s="60">
        <f t="shared" si="18"/>
        <v>0</v>
      </c>
      <c r="P28" s="60">
        <f t="shared" si="19"/>
        <v>0</v>
      </c>
      <c r="Q28" s="60">
        <f t="shared" si="20"/>
        <v>-12424.690096599707</v>
      </c>
      <c r="R28" s="60">
        <f t="shared" si="11"/>
        <v>53080.931347577673</v>
      </c>
      <c r="S28" s="60">
        <f t="shared" si="21"/>
        <v>-65505.621444177377</v>
      </c>
      <c r="T28" s="60">
        <f t="shared" si="12"/>
        <v>3453822.2485860488</v>
      </c>
      <c r="U28" s="60">
        <f t="shared" si="13"/>
        <v>1000000</v>
      </c>
      <c r="V28" s="60">
        <f t="shared" si="8"/>
        <v>756329.89706167509</v>
      </c>
      <c r="W28" s="60">
        <f t="shared" si="14"/>
        <v>2697492.3515243735</v>
      </c>
    </row>
    <row r="29" spans="3:27" x14ac:dyDescent="0.25">
      <c r="C29" s="34">
        <f t="shared" si="15"/>
        <v>53693</v>
      </c>
      <c r="D29" s="35">
        <f t="shared" si="9"/>
        <v>4140562.3748602117</v>
      </c>
      <c r="E29" s="35">
        <f t="shared" si="16"/>
        <v>0</v>
      </c>
      <c r="F29" s="35">
        <f t="shared" si="10"/>
        <v>-686740.12627416267</v>
      </c>
      <c r="G29" s="35">
        <f t="shared" si="0"/>
        <v>289839.36624021485</v>
      </c>
      <c r="H29" s="35">
        <f t="shared" si="1"/>
        <v>0</v>
      </c>
      <c r="I29" s="35">
        <f t="shared" si="2"/>
        <v>0</v>
      </c>
      <c r="J29" s="35">
        <f t="shared" si="3"/>
        <v>-13734.802525483254</v>
      </c>
      <c r="K29" s="35">
        <f t="shared" si="4"/>
        <v>276104.5637147316</v>
      </c>
      <c r="L29" s="35">
        <f t="shared" si="5"/>
        <v>57634.977438400754</v>
      </c>
      <c r="M29" s="35">
        <f>IF(mtm=FALSE, SUM($G$8:G29), 0)</f>
        <v>0</v>
      </c>
      <c r="N29" s="35">
        <f t="shared" si="17"/>
        <v>0</v>
      </c>
      <c r="O29" s="35">
        <f t="shared" si="18"/>
        <v>0</v>
      </c>
      <c r="P29" s="35">
        <f t="shared" si="19"/>
        <v>0</v>
      </c>
      <c r="Q29" s="35">
        <f t="shared" si="20"/>
        <v>-13734.802525483254</v>
      </c>
      <c r="R29" s="35">
        <f t="shared" si="11"/>
        <v>57634.977438400754</v>
      </c>
      <c r="S29" s="35">
        <f t="shared" si="21"/>
        <v>-71369.779963884008</v>
      </c>
      <c r="T29" s="35">
        <f t="shared" si="12"/>
        <v>3672291.8348623803</v>
      </c>
      <c r="U29" s="35">
        <f t="shared" si="13"/>
        <v>1000000</v>
      </c>
      <c r="V29" s="35">
        <f t="shared" si="8"/>
        <v>824055.46880733792</v>
      </c>
      <c r="W29" s="35">
        <f t="shared" si="14"/>
        <v>2848236.3660550425</v>
      </c>
    </row>
    <row r="30" spans="3:27" x14ac:dyDescent="0.25">
      <c r="C30" s="34">
        <f t="shared" si="15"/>
        <v>54058</v>
      </c>
      <c r="D30" s="35">
        <f t="shared" si="9"/>
        <v>4430401.7411004268</v>
      </c>
      <c r="E30" s="35">
        <f t="shared" si="16"/>
        <v>0</v>
      </c>
      <c r="F30" s="35">
        <f t="shared" si="10"/>
        <v>-758109.90623804671</v>
      </c>
      <c r="G30" s="35">
        <f t="shared" si="0"/>
        <v>310128.12187702989</v>
      </c>
      <c r="H30" s="35">
        <f t="shared" si="1"/>
        <v>0</v>
      </c>
      <c r="I30" s="35">
        <f t="shared" si="2"/>
        <v>0</v>
      </c>
      <c r="J30" s="35">
        <f t="shared" si="3"/>
        <v>-15162.198124760935</v>
      </c>
      <c r="K30" s="35">
        <f t="shared" si="4"/>
        <v>294965.92375226895</v>
      </c>
      <c r="L30" s="35">
        <f t="shared" si="5"/>
        <v>62501.208328085391</v>
      </c>
      <c r="M30" s="35">
        <f>IF(mtm=FALSE, SUM($G$8:G30), 0)</f>
        <v>0</v>
      </c>
      <c r="N30" s="35">
        <f t="shared" si="17"/>
        <v>0</v>
      </c>
      <c r="O30" s="35">
        <f t="shared" si="18"/>
        <v>0</v>
      </c>
      <c r="P30" s="35">
        <f t="shared" si="19"/>
        <v>0</v>
      </c>
      <c r="Q30" s="35">
        <f t="shared" si="20"/>
        <v>-15162.198124760935</v>
      </c>
      <c r="R30" s="35">
        <f t="shared" si="11"/>
        <v>62501.208328085391</v>
      </c>
      <c r="S30" s="35">
        <f t="shared" si="21"/>
        <v>-77663.40645284632</v>
      </c>
      <c r="T30" s="35">
        <f t="shared" si="12"/>
        <v>3904756.550286564</v>
      </c>
      <c r="U30" s="35">
        <f t="shared" si="13"/>
        <v>1000000</v>
      </c>
      <c r="V30" s="35">
        <f t="shared" si="8"/>
        <v>896119.5305888349</v>
      </c>
      <c r="W30" s="35">
        <f t="shared" si="14"/>
        <v>3008637.019697729</v>
      </c>
    </row>
    <row r="31" spans="3:27" x14ac:dyDescent="0.25">
      <c r="C31" s="34">
        <f t="shared" si="15"/>
        <v>54424</v>
      </c>
      <c r="D31" s="35">
        <f t="shared" si="9"/>
        <v>4740529.8629774563</v>
      </c>
      <c r="E31" s="35">
        <f t="shared" si="16"/>
        <v>0</v>
      </c>
      <c r="F31" s="35">
        <f t="shared" si="10"/>
        <v>-835773.31269089307</v>
      </c>
      <c r="G31" s="35">
        <f t="shared" si="0"/>
        <v>331837.09040842199</v>
      </c>
      <c r="H31" s="35">
        <f t="shared" si="1"/>
        <v>0</v>
      </c>
      <c r="I31" s="35">
        <f t="shared" si="2"/>
        <v>0</v>
      </c>
      <c r="J31" s="35">
        <f t="shared" si="3"/>
        <v>-16715.46625381786</v>
      </c>
      <c r="K31" s="35">
        <f t="shared" si="4"/>
        <v>315121.62415460416</v>
      </c>
      <c r="L31" s="35">
        <f t="shared" si="5"/>
        <v>67701.379031887875</v>
      </c>
      <c r="M31" s="35">
        <f>IF(mtm=FALSE, SUM($G$8:G31), 0)</f>
        <v>0</v>
      </c>
      <c r="N31" s="35">
        <f t="shared" si="17"/>
        <v>0</v>
      </c>
      <c r="O31" s="35">
        <f t="shared" si="18"/>
        <v>0</v>
      </c>
      <c r="P31" s="35">
        <f t="shared" si="19"/>
        <v>0</v>
      </c>
      <c r="Q31" s="35">
        <f t="shared" si="20"/>
        <v>-16715.46625381786</v>
      </c>
      <c r="R31" s="35">
        <f t="shared" si="11"/>
        <v>67701.379031887875</v>
      </c>
      <c r="S31" s="35">
        <f t="shared" si="21"/>
        <v>-84416.845285705727</v>
      </c>
      <c r="T31" s="35">
        <f t="shared" si="12"/>
        <v>4152176.7954092794</v>
      </c>
      <c r="U31" s="35">
        <f t="shared" si="13"/>
        <v>1000000</v>
      </c>
      <c r="V31" s="35">
        <f t="shared" si="8"/>
        <v>972819.80657687667</v>
      </c>
      <c r="W31" s="35">
        <f t="shared" si="14"/>
        <v>3179356.988832403</v>
      </c>
    </row>
    <row r="32" spans="3:27" x14ac:dyDescent="0.25">
      <c r="C32" s="34">
        <f t="shared" si="15"/>
        <v>54789</v>
      </c>
      <c r="D32" s="35">
        <f t="shared" si="9"/>
        <v>5072366.9533858784</v>
      </c>
      <c r="E32" s="35">
        <f t="shared" si="16"/>
        <v>0</v>
      </c>
      <c r="F32" s="35">
        <f t="shared" si="10"/>
        <v>-920190.15797659883</v>
      </c>
      <c r="G32" s="35">
        <f t="shared" si="0"/>
        <v>355065.68673701154</v>
      </c>
      <c r="H32" s="35">
        <f t="shared" si="1"/>
        <v>0</v>
      </c>
      <c r="I32" s="35">
        <f t="shared" si="2"/>
        <v>0</v>
      </c>
      <c r="J32" s="35">
        <f t="shared" si="3"/>
        <v>-18403.803159531977</v>
      </c>
      <c r="K32" s="35">
        <f t="shared" si="4"/>
        <v>336661.88357747957</v>
      </c>
      <c r="L32" s="35">
        <f t="shared" si="5"/>
        <v>73258.765962989739</v>
      </c>
      <c r="M32" s="35">
        <f>IF(mtm=FALSE, SUM($G$8:G32), 0)</f>
        <v>0</v>
      </c>
      <c r="N32" s="35">
        <f t="shared" si="17"/>
        <v>0</v>
      </c>
      <c r="O32" s="35">
        <f t="shared" si="18"/>
        <v>0</v>
      </c>
      <c r="P32" s="35">
        <f t="shared" si="19"/>
        <v>0</v>
      </c>
      <c r="Q32" s="35">
        <f t="shared" si="20"/>
        <v>-18403.803159531977</v>
      </c>
      <c r="R32" s="35">
        <f t="shared" si="11"/>
        <v>73258.765962989739</v>
      </c>
      <c r="S32" s="35">
        <f t="shared" si="21"/>
        <v>-91662.569122521716</v>
      </c>
      <c r="T32" s="35">
        <f t="shared" si="12"/>
        <v>4415579.9130237689</v>
      </c>
      <c r="U32" s="35">
        <f t="shared" si="13"/>
        <v>1000000</v>
      </c>
      <c r="V32" s="35">
        <f t="shared" si="8"/>
        <v>1054474.7730373684</v>
      </c>
      <c r="W32" s="35">
        <f t="shared" si="14"/>
        <v>3361105.1399864005</v>
      </c>
    </row>
    <row r="33" spans="3:23" x14ac:dyDescent="0.25">
      <c r="C33" s="34">
        <f t="shared" si="15"/>
        <v>55154</v>
      </c>
      <c r="D33" s="35">
        <f t="shared" si="9"/>
        <v>5427432.6401228895</v>
      </c>
      <c r="E33" s="35">
        <f t="shared" si="16"/>
        <v>0</v>
      </c>
      <c r="F33" s="35">
        <f t="shared" si="10"/>
        <v>-1011852.7270991205</v>
      </c>
      <c r="G33" s="35">
        <f t="shared" si="0"/>
        <v>379920.2848086023</v>
      </c>
      <c r="H33" s="35">
        <f t="shared" si="1"/>
        <v>0</v>
      </c>
      <c r="I33" s="35">
        <f t="shared" si="2"/>
        <v>0</v>
      </c>
      <c r="J33" s="35">
        <f t="shared" si="3"/>
        <v>-20237.054541982412</v>
      </c>
      <c r="K33" s="35">
        <f t="shared" si="4"/>
        <v>359683.23026661988</v>
      </c>
      <c r="L33" s="35">
        <f t="shared" si="5"/>
        <v>79198.273408787936</v>
      </c>
      <c r="M33" s="35">
        <f>IF(mtm=FALSE, SUM($G$8:G33), 0)</f>
        <v>0</v>
      </c>
      <c r="N33" s="35">
        <f t="shared" si="17"/>
        <v>0</v>
      </c>
      <c r="O33" s="35">
        <f t="shared" si="18"/>
        <v>0</v>
      </c>
      <c r="P33" s="35">
        <f t="shared" si="19"/>
        <v>0</v>
      </c>
      <c r="Q33" s="35">
        <f t="shared" si="20"/>
        <v>-20237.054541982412</v>
      </c>
      <c r="R33" s="35">
        <f t="shared" si="11"/>
        <v>79198.273408787936</v>
      </c>
      <c r="S33" s="35">
        <f t="shared" si="21"/>
        <v>-99435.327950770356</v>
      </c>
      <c r="T33" s="35">
        <f t="shared" si="12"/>
        <v>4696064.8698816001</v>
      </c>
      <c r="U33" s="35">
        <f t="shared" si="13"/>
        <v>1000000</v>
      </c>
      <c r="V33" s="35">
        <f t="shared" si="8"/>
        <v>1141425.109663296</v>
      </c>
      <c r="W33" s="35">
        <f t="shared" si="14"/>
        <v>3554639.7602183041</v>
      </c>
    </row>
    <row r="34" spans="3:23" x14ac:dyDescent="0.25">
      <c r="C34" s="34">
        <f t="shared" si="15"/>
        <v>55519</v>
      </c>
      <c r="D34" s="35">
        <f t="shared" si="9"/>
        <v>5807352.9249314917</v>
      </c>
      <c r="E34" s="35">
        <f t="shared" si="16"/>
        <v>0</v>
      </c>
      <c r="F34" s="35">
        <f t="shared" si="10"/>
        <v>-1111288.0550498909</v>
      </c>
      <c r="G34" s="35">
        <f t="shared" si="0"/>
        <v>406514.70474520448</v>
      </c>
      <c r="H34" s="35">
        <f t="shared" si="1"/>
        <v>0</v>
      </c>
      <c r="I34" s="35">
        <f t="shared" si="2"/>
        <v>0</v>
      </c>
      <c r="J34" s="35">
        <f t="shared" si="3"/>
        <v>-22225.761100997817</v>
      </c>
      <c r="K34" s="35">
        <f t="shared" si="4"/>
        <v>384288.94364420668</v>
      </c>
      <c r="L34" s="35">
        <f t="shared" si="5"/>
        <v>85546.547460205329</v>
      </c>
      <c r="M34" s="35">
        <f>IF(mtm=FALSE, SUM($G$8:G34), 0)</f>
        <v>0</v>
      </c>
      <c r="N34" s="35">
        <f t="shared" si="17"/>
        <v>0</v>
      </c>
      <c r="O34" s="35">
        <f t="shared" si="18"/>
        <v>0</v>
      </c>
      <c r="P34" s="35">
        <f t="shared" si="19"/>
        <v>0</v>
      </c>
      <c r="Q34" s="35">
        <f t="shared" si="20"/>
        <v>-22225.761100997817</v>
      </c>
      <c r="R34" s="35">
        <f t="shared" si="11"/>
        <v>85546.547460205329</v>
      </c>
      <c r="S34" s="35">
        <f t="shared" si="21"/>
        <v>-107772.30856120314</v>
      </c>
      <c r="T34" s="35">
        <f t="shared" si="12"/>
        <v>4994807.2660656022</v>
      </c>
      <c r="U34" s="35">
        <f t="shared" si="13"/>
        <v>1000000</v>
      </c>
      <c r="V34" s="35">
        <f t="shared" si="8"/>
        <v>1234035.2524803367</v>
      </c>
      <c r="W34" s="35">
        <f t="shared" si="14"/>
        <v>3760772.0135852657</v>
      </c>
    </row>
    <row r="35" spans="3:23" x14ac:dyDescent="0.25">
      <c r="C35" s="34">
        <f t="shared" si="15"/>
        <v>55885</v>
      </c>
      <c r="D35" s="35">
        <f t="shared" si="9"/>
        <v>6213867.6296766959</v>
      </c>
      <c r="E35" s="35">
        <f t="shared" si="16"/>
        <v>0</v>
      </c>
      <c r="F35" s="35">
        <f t="shared" si="10"/>
        <v>-1219060.363611094</v>
      </c>
      <c r="G35" s="35">
        <f t="shared" si="0"/>
        <v>434970.73407736875</v>
      </c>
      <c r="H35" s="35">
        <f t="shared" si="1"/>
        <v>0</v>
      </c>
      <c r="I35" s="35">
        <f t="shared" si="2"/>
        <v>0</v>
      </c>
      <c r="J35" s="35">
        <f t="shared" si="3"/>
        <v>-24381.20727222188</v>
      </c>
      <c r="K35" s="35">
        <f t="shared" si="4"/>
        <v>410589.52680514689</v>
      </c>
      <c r="L35" s="35">
        <f t="shared" si="5"/>
        <v>92332.097915727907</v>
      </c>
      <c r="M35" s="35">
        <f>IF(mtm=FALSE, SUM($G$8:G35), 0)</f>
        <v>0</v>
      </c>
      <c r="N35" s="35">
        <f t="shared" si="17"/>
        <v>0</v>
      </c>
      <c r="O35" s="35">
        <f t="shared" si="18"/>
        <v>0</v>
      </c>
      <c r="P35" s="35">
        <f t="shared" si="19"/>
        <v>0</v>
      </c>
      <c r="Q35" s="35">
        <f t="shared" si="20"/>
        <v>-24381.20727222188</v>
      </c>
      <c r="R35" s="35">
        <f t="shared" si="11"/>
        <v>92332.097915727907</v>
      </c>
      <c r="S35" s="35">
        <f t="shared" si="21"/>
        <v>-116713.30518794979</v>
      </c>
      <c r="T35" s="35">
        <f t="shared" si="12"/>
        <v>5313064.6949550211</v>
      </c>
      <c r="U35" s="35">
        <f t="shared" si="13"/>
        <v>1000000</v>
      </c>
      <c r="V35" s="35">
        <f t="shared" si="8"/>
        <v>1332695.0554360566</v>
      </c>
      <c r="W35" s="35">
        <f t="shared" si="14"/>
        <v>3980369.6395189646</v>
      </c>
    </row>
    <row r="36" spans="3:23" x14ac:dyDescent="0.25">
      <c r="C36" s="34">
        <f t="shared" si="15"/>
        <v>56250</v>
      </c>
      <c r="D36" s="35">
        <f t="shared" si="9"/>
        <v>6648838.3637540648</v>
      </c>
      <c r="E36" s="35">
        <f t="shared" si="16"/>
        <v>0</v>
      </c>
      <c r="F36" s="35">
        <f t="shared" si="10"/>
        <v>-1335773.6687990436</v>
      </c>
      <c r="G36" s="35">
        <f t="shared" si="0"/>
        <v>465418.6854627846</v>
      </c>
      <c r="H36" s="35">
        <f t="shared" si="1"/>
        <v>0</v>
      </c>
      <c r="I36" s="35">
        <f t="shared" si="2"/>
        <v>0</v>
      </c>
      <c r="J36" s="35">
        <f t="shared" si="3"/>
        <v>-26715.473375980873</v>
      </c>
      <c r="K36" s="35">
        <f t="shared" si="4"/>
        <v>438703.21208680375</v>
      </c>
      <c r="L36" s="35">
        <f t="shared" si="5"/>
        <v>99585.428718395371</v>
      </c>
      <c r="M36" s="35">
        <f>IF(mtm=FALSE, SUM($G$8:G36), 0)</f>
        <v>0</v>
      </c>
      <c r="N36" s="35">
        <f t="shared" si="17"/>
        <v>0</v>
      </c>
      <c r="O36" s="35">
        <f t="shared" si="18"/>
        <v>0</v>
      </c>
      <c r="P36" s="35">
        <f t="shared" si="19"/>
        <v>0</v>
      </c>
      <c r="Q36" s="35">
        <f t="shared" si="20"/>
        <v>-26715.473375980873</v>
      </c>
      <c r="R36" s="35">
        <f t="shared" si="11"/>
        <v>99585.428718395371</v>
      </c>
      <c r="S36" s="35">
        <f t="shared" si="21"/>
        <v>-126300.90209437624</v>
      </c>
      <c r="T36" s="35">
        <f t="shared" si="12"/>
        <v>5652182.4783234298</v>
      </c>
      <c r="U36" s="35">
        <f t="shared" si="13"/>
        <v>1000000</v>
      </c>
      <c r="V36" s="35">
        <f t="shared" si="8"/>
        <v>1437821.5682802633</v>
      </c>
      <c r="W36" s="35">
        <f t="shared" si="14"/>
        <v>4214360.910043167</v>
      </c>
    </row>
    <row r="37" spans="3:23" x14ac:dyDescent="0.25">
      <c r="C37" s="34">
        <f t="shared" si="15"/>
        <v>56615</v>
      </c>
      <c r="D37" s="35">
        <f t="shared" si="9"/>
        <v>7114257.0492168497</v>
      </c>
      <c r="E37" s="35">
        <f t="shared" si="16"/>
        <v>0</v>
      </c>
      <c r="F37" s="35">
        <f t="shared" si="10"/>
        <v>-1462074.5708934199</v>
      </c>
      <c r="G37" s="35">
        <f t="shared" si="0"/>
        <v>497997.99344517954</v>
      </c>
      <c r="H37" s="35">
        <f t="shared" si="1"/>
        <v>0</v>
      </c>
      <c r="I37" s="35">
        <f t="shared" si="2"/>
        <v>0</v>
      </c>
      <c r="J37" s="35">
        <f t="shared" si="3"/>
        <v>-29241.491417868398</v>
      </c>
      <c r="K37" s="35">
        <f t="shared" si="4"/>
        <v>468756.50202731113</v>
      </c>
      <c r="L37" s="35">
        <f t="shared" si="5"/>
        <v>107339.17752304627</v>
      </c>
      <c r="M37" s="35">
        <f>IF(mtm=FALSE, SUM($G$8:G37), 0)</f>
        <v>0</v>
      </c>
      <c r="N37" s="35">
        <f t="shared" si="17"/>
        <v>0</v>
      </c>
      <c r="O37" s="35">
        <f t="shared" si="18"/>
        <v>0</v>
      </c>
      <c r="P37" s="35">
        <f t="shared" si="19"/>
        <v>0</v>
      </c>
      <c r="Q37" s="35">
        <f t="shared" si="20"/>
        <v>-29241.491417868398</v>
      </c>
      <c r="R37" s="35">
        <f t="shared" si="11"/>
        <v>107339.17752304627</v>
      </c>
      <c r="S37" s="35">
        <f t="shared" si="21"/>
        <v>-136580.66894091468</v>
      </c>
      <c r="T37" s="35">
        <f t="shared" si="12"/>
        <v>6013599.8028276954</v>
      </c>
      <c r="U37" s="35">
        <f t="shared" si="13"/>
        <v>1000000</v>
      </c>
      <c r="V37" s="35">
        <f t="shared" si="8"/>
        <v>1549860.9388765856</v>
      </c>
      <c r="W37" s="35">
        <f t="shared" si="14"/>
        <v>4463738.8639511093</v>
      </c>
    </row>
    <row r="38" spans="3:23" x14ac:dyDescent="0.25">
      <c r="C38" s="34">
        <f t="shared" si="15"/>
        <v>56980</v>
      </c>
      <c r="D38" s="35">
        <f t="shared" si="9"/>
        <v>7612255.0426620292</v>
      </c>
      <c r="E38" s="35">
        <f t="shared" si="16"/>
        <v>0</v>
      </c>
      <c r="F38" s="35">
        <f t="shared" si="10"/>
        <v>-1598655.2398343347</v>
      </c>
      <c r="G38" s="35">
        <f t="shared" si="0"/>
        <v>532857.85298634204</v>
      </c>
      <c r="H38" s="35">
        <f t="shared" si="1"/>
        <v>0</v>
      </c>
      <c r="I38" s="35">
        <f t="shared" si="2"/>
        <v>0</v>
      </c>
      <c r="J38" s="35">
        <f t="shared" si="3"/>
        <v>-31973.104796686694</v>
      </c>
      <c r="K38" s="35">
        <f t="shared" si="4"/>
        <v>500884.74818965537</v>
      </c>
      <c r="L38" s="35">
        <f t="shared" si="5"/>
        <v>115628.26503293109</v>
      </c>
      <c r="M38" s="35">
        <f>IF(mtm=FALSE, SUM($G$8:G38), 0)</f>
        <v>0</v>
      </c>
      <c r="N38" s="35">
        <f t="shared" si="17"/>
        <v>0</v>
      </c>
      <c r="O38" s="35">
        <f t="shared" si="18"/>
        <v>0</v>
      </c>
      <c r="P38" s="35">
        <f t="shared" si="19"/>
        <v>0</v>
      </c>
      <c r="Q38" s="35">
        <f t="shared" si="20"/>
        <v>-31973.104796686694</v>
      </c>
      <c r="R38" s="35">
        <f t="shared" si="11"/>
        <v>115628.26503293109</v>
      </c>
      <c r="S38" s="35">
        <f t="shared" si="21"/>
        <v>-147601.36982961779</v>
      </c>
      <c r="T38" s="35">
        <f t="shared" si="12"/>
        <v>6398856.2859844184</v>
      </c>
      <c r="U38" s="35">
        <f t="shared" si="13"/>
        <v>1000000</v>
      </c>
      <c r="V38" s="35">
        <f t="shared" si="8"/>
        <v>1669290.4486551697</v>
      </c>
      <c r="W38" s="35">
        <f t="shared" si="14"/>
        <v>4729565.8373292489</v>
      </c>
    </row>
    <row r="39" spans="3:23" x14ac:dyDescent="0.25">
      <c r="C39" s="34">
        <f t="shared" si="15"/>
        <v>57346</v>
      </c>
      <c r="D39" s="35">
        <f t="shared" si="9"/>
        <v>8145112.8956483714</v>
      </c>
      <c r="E39" s="35">
        <f t="shared" si="16"/>
        <v>0</v>
      </c>
      <c r="F39" s="35">
        <f t="shared" si="10"/>
        <v>-1746256.6096639526</v>
      </c>
      <c r="G39" s="35">
        <f t="shared" si="0"/>
        <v>570157.90269538609</v>
      </c>
      <c r="H39" s="35">
        <f t="shared" si="1"/>
        <v>0</v>
      </c>
      <c r="I39" s="35">
        <f t="shared" si="2"/>
        <v>0</v>
      </c>
      <c r="J39" s="35">
        <f t="shared" si="3"/>
        <v>-34925.132193279052</v>
      </c>
      <c r="K39" s="35">
        <f t="shared" si="4"/>
        <v>535232.77050210699</v>
      </c>
      <c r="L39" s="35">
        <f t="shared" si="5"/>
        <v>124490.0547895436</v>
      </c>
      <c r="M39" s="35">
        <f>IF(mtm=FALSE, SUM($G$8:G39), 0)</f>
        <v>0</v>
      </c>
      <c r="N39" s="35">
        <f t="shared" si="17"/>
        <v>0</v>
      </c>
      <c r="O39" s="35">
        <f t="shared" si="18"/>
        <v>0</v>
      </c>
      <c r="P39" s="35">
        <f t="shared" si="19"/>
        <v>0</v>
      </c>
      <c r="Q39" s="35">
        <f t="shared" si="20"/>
        <v>-34925.132193279052</v>
      </c>
      <c r="R39" s="35">
        <f t="shared" si="11"/>
        <v>124490.0547895436</v>
      </c>
      <c r="S39" s="35">
        <f t="shared" si="21"/>
        <v>-159415.18698282266</v>
      </c>
      <c r="T39" s="35">
        <f t="shared" si="12"/>
        <v>6809599.0016969824</v>
      </c>
      <c r="U39" s="35">
        <f t="shared" si="13"/>
        <v>1000000</v>
      </c>
      <c r="V39" s="35">
        <f t="shared" si="8"/>
        <v>1796620.6905260645</v>
      </c>
      <c r="W39" s="35">
        <f t="shared" si="14"/>
        <v>5012978.3111709179</v>
      </c>
    </row>
    <row r="40" spans="3:23" x14ac:dyDescent="0.25">
      <c r="C40" s="34" t="str">
        <f t="shared" si="15"/>
        <v/>
      </c>
      <c r="D40" s="35">
        <f t="shared" si="9"/>
        <v>8715270.7983437572</v>
      </c>
      <c r="E40" s="35">
        <f t="shared" si="16"/>
        <v>0</v>
      </c>
      <c r="F40" s="35">
        <f t="shared" si="10"/>
        <v>-1905671.7966467752</v>
      </c>
      <c r="G40" s="35">
        <f t="shared" ref="G40:G71" si="22">D40*growth_rate</f>
        <v>610068.95588406303</v>
      </c>
      <c r="H40" s="35">
        <f t="shared" ref="H40:H71" si="23">D40*dividend</f>
        <v>0</v>
      </c>
      <c r="I40" s="35">
        <f t="shared" ref="I40:I71" si="24">E40/bonds_par*coupon</f>
        <v>0</v>
      </c>
      <c r="J40" s="35">
        <f t="shared" ref="J40:J71" si="25">cash_yield*F40</f>
        <v>-38113.435932935507</v>
      </c>
      <c r="K40" s="35">
        <f t="shared" ref="K40:K71" si="26">IF(mtm=TRUE, SUM(G40:J40), H40+I40+J40)</f>
        <v>571955.51995112747</v>
      </c>
      <c r="L40" s="35">
        <f t="shared" ref="L40:L71" si="27">IF(K40&lt;vpb_cutover,K40* vpb_1, (K40-vpb_cutover)*vpb_2+vpb_cutover*vpb_1)</f>
        <v>133964.52414739088</v>
      </c>
      <c r="M40" s="35">
        <f>IF(mtm=FALSE, SUM($G$8:G40), 0)</f>
        <v>0</v>
      </c>
      <c r="N40" s="35">
        <f t="shared" si="17"/>
        <v>0</v>
      </c>
      <c r="O40" s="35">
        <f t="shared" si="18"/>
        <v>0</v>
      </c>
      <c r="P40" s="35">
        <f t="shared" si="19"/>
        <v>0</v>
      </c>
      <c r="Q40" s="35">
        <f t="shared" si="20"/>
        <v>-38113.435932935507</v>
      </c>
      <c r="R40" s="35">
        <f t="shared" si="11"/>
        <v>133964.52414739088</v>
      </c>
      <c r="S40" s="35">
        <f t="shared" si="21"/>
        <v>-172077.96008032639</v>
      </c>
      <c r="T40" s="35">
        <f t="shared" si="12"/>
        <v>7247589.9975007176</v>
      </c>
      <c r="U40" s="35">
        <f t="shared" si="13"/>
        <v>1000000</v>
      </c>
      <c r="V40" s="35">
        <f t="shared" ref="V40:V71" si="28">IF((T40-U40)&gt;box2_cutover, (T40-U40-box2_cutover)*box2_2+box2_1*box2_cutover, MAX((T40-U40)*box2_1, 0))</f>
        <v>1932397.8992252224</v>
      </c>
      <c r="W40" s="35">
        <f t="shared" si="14"/>
        <v>5315192.0982754957</v>
      </c>
    </row>
    <row r="41" spans="3:23" x14ac:dyDescent="0.25">
      <c r="C41" s="34" t="str">
        <f t="shared" si="15"/>
        <v/>
      </c>
      <c r="D41" s="35">
        <f t="shared" ref="D41:D72" si="29">D40+G40+IF(S40&gt;0, S40*reinvestment_mix, 0)</f>
        <v>9325339.7542278208</v>
      </c>
      <c r="E41" s="35">
        <f t="shared" si="16"/>
        <v>0</v>
      </c>
      <c r="F41" s="35">
        <f t="shared" ref="F41:F72" si="30">F40+IF(S40&gt;0, S40*(1-reinvestment_mix), S40)</f>
        <v>-2077749.7567271015</v>
      </c>
      <c r="G41" s="35">
        <f t="shared" si="22"/>
        <v>652773.78279594751</v>
      </c>
      <c r="H41" s="35">
        <f t="shared" si="23"/>
        <v>0</v>
      </c>
      <c r="I41" s="35">
        <f t="shared" si="24"/>
        <v>0</v>
      </c>
      <c r="J41" s="35">
        <f t="shared" si="25"/>
        <v>-41554.995134542034</v>
      </c>
      <c r="K41" s="35">
        <f t="shared" si="26"/>
        <v>611218.78766140551</v>
      </c>
      <c r="L41" s="35">
        <f t="shared" si="27"/>
        <v>144094.44721664261</v>
      </c>
      <c r="M41" s="35">
        <f>IF(mtm=FALSE, SUM($G$8:G41), 0)</f>
        <v>0</v>
      </c>
      <c r="N41" s="35">
        <f t="shared" si="17"/>
        <v>0</v>
      </c>
      <c r="O41" s="35">
        <f t="shared" si="18"/>
        <v>0</v>
      </c>
      <c r="P41" s="35">
        <f t="shared" si="19"/>
        <v>0</v>
      </c>
      <c r="Q41" s="35">
        <f t="shared" si="20"/>
        <v>-41554.995134542034</v>
      </c>
      <c r="R41" s="35">
        <f t="shared" si="11"/>
        <v>144094.44721664261</v>
      </c>
      <c r="S41" s="35">
        <f t="shared" si="21"/>
        <v>-185649.44235118464</v>
      </c>
      <c r="T41" s="35">
        <f t="shared" si="12"/>
        <v>7714714.3379454818</v>
      </c>
      <c r="U41" s="35">
        <f t="shared" si="13"/>
        <v>1000000</v>
      </c>
      <c r="V41" s="35">
        <f t="shared" si="28"/>
        <v>2077206.4447630993</v>
      </c>
      <c r="W41" s="35">
        <f t="shared" si="14"/>
        <v>5637507.893182382</v>
      </c>
    </row>
    <row r="42" spans="3:23" x14ac:dyDescent="0.25">
      <c r="C42" s="34" t="str">
        <f t="shared" ref="C42:C73" si="31">IF(ROW(C41)-ROW($C$8) &lt;= hoelang, DATE(YEAR(C41)+1,1,1), "")</f>
        <v/>
      </c>
      <c r="D42" s="35">
        <f t="shared" si="29"/>
        <v>9978113.5370237678</v>
      </c>
      <c r="E42" s="35">
        <f t="shared" si="16"/>
        <v>0</v>
      </c>
      <c r="F42" s="35">
        <f t="shared" si="30"/>
        <v>-2263399.1990782861</v>
      </c>
      <c r="G42" s="35">
        <f t="shared" si="22"/>
        <v>698467.9475916638</v>
      </c>
      <c r="H42" s="35">
        <f t="shared" si="23"/>
        <v>0</v>
      </c>
      <c r="I42" s="35">
        <f t="shared" si="24"/>
        <v>0</v>
      </c>
      <c r="J42" s="35">
        <f t="shared" si="25"/>
        <v>-45267.983981565725</v>
      </c>
      <c r="K42" s="35">
        <f t="shared" si="26"/>
        <v>653199.96361009812</v>
      </c>
      <c r="L42" s="35">
        <f t="shared" si="27"/>
        <v>154925.59061140532</v>
      </c>
      <c r="M42" s="35">
        <f>IF(mtm=FALSE, SUM($G$8:G42), 0)</f>
        <v>0</v>
      </c>
      <c r="N42" s="35">
        <f t="shared" si="17"/>
        <v>0</v>
      </c>
      <c r="O42" s="35">
        <f t="shared" si="18"/>
        <v>0</v>
      </c>
      <c r="P42" s="35">
        <f t="shared" si="19"/>
        <v>0</v>
      </c>
      <c r="Q42" s="35">
        <f t="shared" si="20"/>
        <v>-45267.983981565725</v>
      </c>
      <c r="R42" s="35">
        <f t="shared" si="11"/>
        <v>154925.59061140532</v>
      </c>
      <c r="S42" s="35">
        <f t="shared" si="21"/>
        <v>-200193.57459297104</v>
      </c>
      <c r="T42" s="35">
        <f t="shared" si="12"/>
        <v>8212988.7109441748</v>
      </c>
      <c r="U42" s="35">
        <f t="shared" si="13"/>
        <v>1000000</v>
      </c>
      <c r="V42" s="35">
        <f t="shared" si="28"/>
        <v>2231671.500392694</v>
      </c>
      <c r="W42" s="35">
        <f t="shared" si="14"/>
        <v>5981317.2105514808</v>
      </c>
    </row>
    <row r="43" spans="3:23" x14ac:dyDescent="0.25">
      <c r="C43" s="34" t="str">
        <f t="shared" si="31"/>
        <v/>
      </c>
      <c r="D43" s="35">
        <f t="shared" si="29"/>
        <v>10676581.484615432</v>
      </c>
      <c r="E43" s="35">
        <f t="shared" si="16"/>
        <v>0</v>
      </c>
      <c r="F43" s="35">
        <f t="shared" si="30"/>
        <v>-2463592.7736712573</v>
      </c>
      <c r="G43" s="35">
        <f t="shared" si="22"/>
        <v>747360.70392308035</v>
      </c>
      <c r="H43" s="35">
        <f t="shared" si="23"/>
        <v>0</v>
      </c>
      <c r="I43" s="35">
        <f t="shared" si="24"/>
        <v>0</v>
      </c>
      <c r="J43" s="35">
        <f t="shared" si="25"/>
        <v>-49271.855473425145</v>
      </c>
      <c r="K43" s="35">
        <f t="shared" si="26"/>
        <v>698088.84844965523</v>
      </c>
      <c r="L43" s="35">
        <f t="shared" si="27"/>
        <v>166506.92290001106</v>
      </c>
      <c r="M43" s="35">
        <f>IF(mtm=FALSE, SUM($G$8:G43), 0)</f>
        <v>0</v>
      </c>
      <c r="N43" s="35">
        <f t="shared" si="17"/>
        <v>0</v>
      </c>
      <c r="O43" s="35">
        <f t="shared" si="18"/>
        <v>0</v>
      </c>
      <c r="P43" s="35">
        <f t="shared" si="19"/>
        <v>0</v>
      </c>
      <c r="Q43" s="35">
        <f t="shared" si="20"/>
        <v>-49271.855473425145</v>
      </c>
      <c r="R43" s="35">
        <f t="shared" si="11"/>
        <v>166506.92290001106</v>
      </c>
      <c r="S43" s="35">
        <f t="shared" si="21"/>
        <v>-215778.77837343622</v>
      </c>
      <c r="T43" s="35">
        <f t="shared" si="12"/>
        <v>8744570.6364938188</v>
      </c>
      <c r="U43" s="35">
        <f t="shared" si="13"/>
        <v>1000000</v>
      </c>
      <c r="V43" s="35">
        <f t="shared" si="28"/>
        <v>2396461.897313084</v>
      </c>
      <c r="W43" s="35">
        <f t="shared" si="14"/>
        <v>6348108.7391807344</v>
      </c>
    </row>
    <row r="44" spans="3:23" x14ac:dyDescent="0.25">
      <c r="C44" s="34" t="str">
        <f t="shared" si="31"/>
        <v/>
      </c>
      <c r="D44" s="35">
        <f t="shared" si="29"/>
        <v>11423942.188538512</v>
      </c>
      <c r="E44" s="35">
        <f t="shared" si="16"/>
        <v>0</v>
      </c>
      <c r="F44" s="35">
        <f t="shared" si="30"/>
        <v>-2679371.5520446934</v>
      </c>
      <c r="G44" s="35">
        <f t="shared" si="22"/>
        <v>799675.9531976959</v>
      </c>
      <c r="H44" s="35">
        <f t="shared" si="23"/>
        <v>0</v>
      </c>
      <c r="I44" s="35">
        <f t="shared" si="24"/>
        <v>0</v>
      </c>
      <c r="J44" s="35">
        <f t="shared" si="25"/>
        <v>-53587.431040893869</v>
      </c>
      <c r="K44" s="35">
        <f t="shared" si="26"/>
        <v>746088.52215680201</v>
      </c>
      <c r="L44" s="35">
        <f t="shared" si="27"/>
        <v>178890.83871645492</v>
      </c>
      <c r="M44" s="35">
        <f>IF(mtm=FALSE, SUM($G$8:G44), 0)</f>
        <v>0</v>
      </c>
      <c r="N44" s="35">
        <f t="shared" si="17"/>
        <v>0</v>
      </c>
      <c r="O44" s="35">
        <f t="shared" si="18"/>
        <v>0</v>
      </c>
      <c r="P44" s="35">
        <f t="shared" si="19"/>
        <v>0</v>
      </c>
      <c r="Q44" s="35">
        <f t="shared" si="20"/>
        <v>-53587.431040893869</v>
      </c>
      <c r="R44" s="35">
        <f t="shared" si="11"/>
        <v>178890.83871645492</v>
      </c>
      <c r="S44" s="35">
        <f t="shared" si="21"/>
        <v>-232478.26975734878</v>
      </c>
      <c r="T44" s="35">
        <f t="shared" si="12"/>
        <v>9311768.3199341651</v>
      </c>
      <c r="U44" s="35">
        <f t="shared" si="13"/>
        <v>1000000</v>
      </c>
      <c r="V44" s="35">
        <f t="shared" si="28"/>
        <v>2572293.1791795911</v>
      </c>
      <c r="W44" s="35">
        <f t="shared" si="14"/>
        <v>6739475.140754574</v>
      </c>
    </row>
    <row r="45" spans="3:23" x14ac:dyDescent="0.25">
      <c r="C45" s="34" t="str">
        <f t="shared" si="31"/>
        <v/>
      </c>
      <c r="D45" s="35">
        <f t="shared" si="29"/>
        <v>12223618.141736208</v>
      </c>
      <c r="E45" s="35">
        <f t="shared" si="16"/>
        <v>0</v>
      </c>
      <c r="F45" s="35">
        <f t="shared" si="30"/>
        <v>-2911849.821802042</v>
      </c>
      <c r="G45" s="35">
        <f t="shared" si="22"/>
        <v>855653.26992153458</v>
      </c>
      <c r="H45" s="35">
        <f t="shared" si="23"/>
        <v>0</v>
      </c>
      <c r="I45" s="35">
        <f t="shared" si="24"/>
        <v>0</v>
      </c>
      <c r="J45" s="35">
        <f t="shared" si="25"/>
        <v>-58236.996436040841</v>
      </c>
      <c r="K45" s="35">
        <f t="shared" si="26"/>
        <v>797416.27348549373</v>
      </c>
      <c r="L45" s="35">
        <f t="shared" si="27"/>
        <v>192133.39855925739</v>
      </c>
      <c r="M45" s="35">
        <f>IF(mtm=FALSE, SUM($G$8:G45), 0)</f>
        <v>0</v>
      </c>
      <c r="N45" s="35">
        <f t="shared" si="17"/>
        <v>0</v>
      </c>
      <c r="O45" s="35">
        <f t="shared" si="18"/>
        <v>0</v>
      </c>
      <c r="P45" s="35">
        <f t="shared" si="19"/>
        <v>0</v>
      </c>
      <c r="Q45" s="35">
        <f t="shared" si="20"/>
        <v>-58236.996436040841</v>
      </c>
      <c r="R45" s="35">
        <f t="shared" si="11"/>
        <v>192133.39855925739</v>
      </c>
      <c r="S45" s="35">
        <f t="shared" si="21"/>
        <v>-250370.39499529824</v>
      </c>
      <c r="T45" s="35">
        <f t="shared" si="12"/>
        <v>9917051.1948604006</v>
      </c>
      <c r="U45" s="35">
        <f t="shared" si="13"/>
        <v>1000000</v>
      </c>
      <c r="V45" s="35">
        <f t="shared" si="28"/>
        <v>2759930.870406724</v>
      </c>
      <c r="W45" s="35">
        <f t="shared" si="14"/>
        <v>7157120.3244536761</v>
      </c>
    </row>
    <row r="46" spans="3:23" x14ac:dyDescent="0.25">
      <c r="C46" s="34" t="str">
        <f t="shared" si="31"/>
        <v/>
      </c>
      <c r="D46" s="35">
        <f t="shared" si="29"/>
        <v>13079271.411657741</v>
      </c>
      <c r="E46" s="35">
        <f t="shared" si="16"/>
        <v>0</v>
      </c>
      <c r="F46" s="35">
        <f t="shared" si="30"/>
        <v>-3162220.2167973402</v>
      </c>
      <c r="G46" s="35">
        <f t="shared" si="22"/>
        <v>915548.99881604197</v>
      </c>
      <c r="H46" s="35">
        <f t="shared" si="23"/>
        <v>0</v>
      </c>
      <c r="I46" s="35">
        <f t="shared" si="24"/>
        <v>0</v>
      </c>
      <c r="J46" s="35">
        <f t="shared" si="25"/>
        <v>-63244.404335946805</v>
      </c>
      <c r="K46" s="35">
        <f t="shared" si="26"/>
        <v>852304.5944800952</v>
      </c>
      <c r="L46" s="35">
        <f t="shared" si="27"/>
        <v>206294.58537586455</v>
      </c>
      <c r="M46" s="35">
        <f>IF(mtm=FALSE, SUM($G$8:G46), 0)</f>
        <v>0</v>
      </c>
      <c r="N46" s="35">
        <f t="shared" si="17"/>
        <v>0</v>
      </c>
      <c r="O46" s="35">
        <f t="shared" si="18"/>
        <v>0</v>
      </c>
      <c r="P46" s="35">
        <f t="shared" si="19"/>
        <v>0</v>
      </c>
      <c r="Q46" s="35">
        <f t="shared" si="20"/>
        <v>-63244.404335946805</v>
      </c>
      <c r="R46" s="35">
        <f t="shared" si="11"/>
        <v>206294.58537586455</v>
      </c>
      <c r="S46" s="35">
        <f t="shared" si="21"/>
        <v>-269538.98971181136</v>
      </c>
      <c r="T46" s="35">
        <f t="shared" si="12"/>
        <v>10563061.20396463</v>
      </c>
      <c r="U46" s="35">
        <f t="shared" si="13"/>
        <v>1000000</v>
      </c>
      <c r="V46" s="35">
        <f t="shared" si="28"/>
        <v>2960193.9732290353</v>
      </c>
      <c r="W46" s="35">
        <f t="shared" si="14"/>
        <v>7602867.2307355944</v>
      </c>
    </row>
    <row r="47" spans="3:23" x14ac:dyDescent="0.25">
      <c r="C47" s="34" t="str">
        <f t="shared" si="31"/>
        <v/>
      </c>
      <c r="D47" s="35">
        <f t="shared" si="29"/>
        <v>13994820.410473783</v>
      </c>
      <c r="E47" s="35">
        <f t="shared" si="16"/>
        <v>0</v>
      </c>
      <c r="F47" s="35">
        <f t="shared" si="30"/>
        <v>-3431759.2065091515</v>
      </c>
      <c r="G47" s="35">
        <f t="shared" si="22"/>
        <v>979637.42873316491</v>
      </c>
      <c r="H47" s="35">
        <f t="shared" si="23"/>
        <v>0</v>
      </c>
      <c r="I47" s="35">
        <f t="shared" si="24"/>
        <v>0</v>
      </c>
      <c r="J47" s="35">
        <f t="shared" si="25"/>
        <v>-68635.184130183028</v>
      </c>
      <c r="K47" s="35">
        <f t="shared" si="26"/>
        <v>911002.24460298184</v>
      </c>
      <c r="L47" s="35">
        <f t="shared" si="27"/>
        <v>221438.57910756933</v>
      </c>
      <c r="M47" s="35">
        <f>IF(mtm=FALSE, SUM($G$8:G47), 0)</f>
        <v>0</v>
      </c>
      <c r="N47" s="35">
        <f t="shared" si="17"/>
        <v>0</v>
      </c>
      <c r="O47" s="35">
        <f t="shared" si="18"/>
        <v>0</v>
      </c>
      <c r="P47" s="35">
        <f t="shared" si="19"/>
        <v>0</v>
      </c>
      <c r="Q47" s="35">
        <f t="shared" si="20"/>
        <v>-68635.184130183028</v>
      </c>
      <c r="R47" s="35">
        <f t="shared" si="11"/>
        <v>221438.57910756933</v>
      </c>
      <c r="S47" s="35">
        <f t="shared" si="21"/>
        <v>-290073.76323775237</v>
      </c>
      <c r="T47" s="35">
        <f t="shared" si="12"/>
        <v>11252624.869460044</v>
      </c>
      <c r="U47" s="35">
        <f t="shared" si="13"/>
        <v>1000000</v>
      </c>
      <c r="V47" s="35">
        <f t="shared" si="28"/>
        <v>3173958.7095326139</v>
      </c>
      <c r="W47" s="35">
        <f t="shared" si="14"/>
        <v>8078666.1599274306</v>
      </c>
    </row>
    <row r="48" spans="3:23" x14ac:dyDescent="0.25">
      <c r="C48" s="34" t="str">
        <f t="shared" si="31"/>
        <v/>
      </c>
      <c r="D48" s="35">
        <f t="shared" si="29"/>
        <v>14974457.839206947</v>
      </c>
      <c r="E48" s="35">
        <f t="shared" si="16"/>
        <v>0</v>
      </c>
      <c r="F48" s="35">
        <f t="shared" si="30"/>
        <v>-3721832.969746904</v>
      </c>
      <c r="G48" s="35">
        <f t="shared" si="22"/>
        <v>1048212.0487444864</v>
      </c>
      <c r="H48" s="35">
        <f t="shared" si="23"/>
        <v>0</v>
      </c>
      <c r="I48" s="35">
        <f t="shared" si="24"/>
        <v>0</v>
      </c>
      <c r="J48" s="35">
        <f t="shared" si="25"/>
        <v>-74436.659394938077</v>
      </c>
      <c r="K48" s="35">
        <f t="shared" si="26"/>
        <v>973775.38934954838</v>
      </c>
      <c r="L48" s="35">
        <f t="shared" si="27"/>
        <v>237634.0504521835</v>
      </c>
      <c r="M48" s="35">
        <f>IF(mtm=FALSE, SUM($G$8:G48), 0)</f>
        <v>0</v>
      </c>
      <c r="N48" s="35">
        <f t="shared" si="17"/>
        <v>0</v>
      </c>
      <c r="O48" s="35">
        <f t="shared" si="18"/>
        <v>0</v>
      </c>
      <c r="P48" s="35">
        <f t="shared" si="19"/>
        <v>0</v>
      </c>
      <c r="Q48" s="35">
        <f t="shared" si="20"/>
        <v>-74436.659394938077</v>
      </c>
      <c r="R48" s="35">
        <f t="shared" si="11"/>
        <v>237634.0504521835</v>
      </c>
      <c r="S48" s="35">
        <f t="shared" si="21"/>
        <v>-312070.70984712156</v>
      </c>
      <c r="T48" s="35">
        <f t="shared" si="12"/>
        <v>11988766.208357407</v>
      </c>
      <c r="U48" s="35">
        <f t="shared" si="13"/>
        <v>1000000</v>
      </c>
      <c r="V48" s="35">
        <f t="shared" si="28"/>
        <v>3402162.5245907959</v>
      </c>
      <c r="W48" s="35">
        <f t="shared" si="14"/>
        <v>8586603.6837666109</v>
      </c>
    </row>
    <row r="49" spans="3:23" x14ac:dyDescent="0.25">
      <c r="C49" s="34" t="str">
        <f t="shared" si="31"/>
        <v/>
      </c>
      <c r="D49" s="35">
        <f t="shared" si="29"/>
        <v>16022669.887951434</v>
      </c>
      <c r="E49" s="35">
        <f t="shared" si="16"/>
        <v>0</v>
      </c>
      <c r="F49" s="35">
        <f t="shared" si="30"/>
        <v>-4033903.6795940255</v>
      </c>
      <c r="G49" s="35">
        <f t="shared" si="22"/>
        <v>1121586.8921566005</v>
      </c>
      <c r="H49" s="35">
        <f t="shared" si="23"/>
        <v>0</v>
      </c>
      <c r="I49" s="35">
        <f t="shared" si="24"/>
        <v>0</v>
      </c>
      <c r="J49" s="35">
        <f t="shared" si="25"/>
        <v>-80678.073591880515</v>
      </c>
      <c r="K49" s="35">
        <f t="shared" si="26"/>
        <v>1040908.81856472</v>
      </c>
      <c r="L49" s="35">
        <f t="shared" si="27"/>
        <v>254954.47518969775</v>
      </c>
      <c r="M49" s="35">
        <f>IF(mtm=FALSE, SUM($G$8:G49), 0)</f>
        <v>0</v>
      </c>
      <c r="N49" s="35">
        <f t="shared" si="17"/>
        <v>0</v>
      </c>
      <c r="O49" s="35">
        <f t="shared" si="18"/>
        <v>0</v>
      </c>
      <c r="P49" s="35">
        <f t="shared" si="19"/>
        <v>0</v>
      </c>
      <c r="Q49" s="35">
        <f t="shared" si="20"/>
        <v>-80678.073591880515</v>
      </c>
      <c r="R49" s="35">
        <f t="shared" si="11"/>
        <v>254954.47518969775</v>
      </c>
      <c r="S49" s="35">
        <f t="shared" si="21"/>
        <v>-335632.54878157825</v>
      </c>
      <c r="T49" s="35">
        <f t="shared" si="12"/>
        <v>12774720.551732432</v>
      </c>
      <c r="U49" s="35">
        <f t="shared" si="13"/>
        <v>1000000</v>
      </c>
      <c r="V49" s="35">
        <f t="shared" si="28"/>
        <v>3645808.3710370539</v>
      </c>
      <c r="W49" s="35">
        <f t="shared" si="14"/>
        <v>9128912.1806953773</v>
      </c>
    </row>
    <row r="50" spans="3:23" x14ac:dyDescent="0.25">
      <c r="C50" s="34" t="str">
        <f t="shared" si="31"/>
        <v/>
      </c>
      <c r="D50" s="35">
        <f t="shared" si="29"/>
        <v>17144256.780108035</v>
      </c>
      <c r="E50" s="35">
        <f t="shared" si="16"/>
        <v>0</v>
      </c>
      <c r="F50" s="35">
        <f t="shared" si="30"/>
        <v>-4369536.2283756034</v>
      </c>
      <c r="G50" s="35">
        <f t="shared" si="22"/>
        <v>1200097.9746075626</v>
      </c>
      <c r="H50" s="35">
        <f t="shared" si="23"/>
        <v>0</v>
      </c>
      <c r="I50" s="35">
        <f t="shared" si="24"/>
        <v>0</v>
      </c>
      <c r="J50" s="35">
        <f t="shared" si="25"/>
        <v>-87390.724567512065</v>
      </c>
      <c r="K50" s="35">
        <f t="shared" si="26"/>
        <v>1112707.2500400506</v>
      </c>
      <c r="L50" s="35">
        <f t="shared" si="27"/>
        <v>273478.47051033308</v>
      </c>
      <c r="M50" s="35">
        <f>IF(mtm=FALSE, SUM($G$8:G50), 0)</f>
        <v>0</v>
      </c>
      <c r="N50" s="35">
        <f t="shared" si="17"/>
        <v>0</v>
      </c>
      <c r="O50" s="35">
        <f t="shared" si="18"/>
        <v>0</v>
      </c>
      <c r="P50" s="35">
        <f t="shared" si="19"/>
        <v>0</v>
      </c>
      <c r="Q50" s="35">
        <f t="shared" si="20"/>
        <v>-87390.724567512065</v>
      </c>
      <c r="R50" s="35">
        <f t="shared" si="11"/>
        <v>273478.47051033308</v>
      </c>
      <c r="S50" s="35">
        <f t="shared" si="21"/>
        <v>-360869.19507784513</v>
      </c>
      <c r="T50" s="35">
        <f t="shared" si="12"/>
        <v>13613949.331262149</v>
      </c>
      <c r="U50" s="35">
        <f t="shared" si="13"/>
        <v>1000000</v>
      </c>
      <c r="V50" s="35">
        <f t="shared" si="28"/>
        <v>3905969.2926912662</v>
      </c>
      <c r="W50" s="35">
        <f t="shared" si="14"/>
        <v>9707980.0385708828</v>
      </c>
    </row>
    <row r="51" spans="3:23" x14ac:dyDescent="0.25">
      <c r="C51" s="34" t="str">
        <f t="shared" si="31"/>
        <v/>
      </c>
      <c r="D51" s="35">
        <f t="shared" si="29"/>
        <v>18344354.754715599</v>
      </c>
      <c r="E51" s="35">
        <f t="shared" si="16"/>
        <v>0</v>
      </c>
      <c r="F51" s="35">
        <f t="shared" si="30"/>
        <v>-4730405.4234534483</v>
      </c>
      <c r="G51" s="35">
        <f t="shared" si="22"/>
        <v>1284104.8328300922</v>
      </c>
      <c r="H51" s="35">
        <f t="shared" si="23"/>
        <v>0</v>
      </c>
      <c r="I51" s="35">
        <f t="shared" si="24"/>
        <v>0</v>
      </c>
      <c r="J51" s="35">
        <f t="shared" si="25"/>
        <v>-94608.108469068975</v>
      </c>
      <c r="K51" s="35">
        <f t="shared" si="26"/>
        <v>1189496.7243610232</v>
      </c>
      <c r="L51" s="35">
        <f t="shared" si="27"/>
        <v>293290.15488514397</v>
      </c>
      <c r="M51" s="35">
        <f>IF(mtm=FALSE, SUM($G$8:G51), 0)</f>
        <v>0</v>
      </c>
      <c r="N51" s="35">
        <f t="shared" si="17"/>
        <v>0</v>
      </c>
      <c r="O51" s="35">
        <f t="shared" si="18"/>
        <v>0</v>
      </c>
      <c r="P51" s="35">
        <f t="shared" si="19"/>
        <v>0</v>
      </c>
      <c r="Q51" s="35">
        <f t="shared" si="20"/>
        <v>-94608.108469068975</v>
      </c>
      <c r="R51" s="35">
        <f t="shared" si="11"/>
        <v>293290.15488514397</v>
      </c>
      <c r="S51" s="35">
        <f t="shared" si="21"/>
        <v>-387898.26335421298</v>
      </c>
      <c r="T51" s="35">
        <f t="shared" si="12"/>
        <v>14510155.900738031</v>
      </c>
      <c r="U51" s="35">
        <f t="shared" si="13"/>
        <v>1000000</v>
      </c>
      <c r="V51" s="35">
        <f t="shared" si="28"/>
        <v>4183793.3292287895</v>
      </c>
      <c r="W51" s="35">
        <f t="shared" si="14"/>
        <v>10326362.571509242</v>
      </c>
    </row>
    <row r="52" spans="3:23" x14ac:dyDescent="0.25">
      <c r="C52" s="34" t="str">
        <f t="shared" si="31"/>
        <v/>
      </c>
      <c r="D52" s="35">
        <f t="shared" si="29"/>
        <v>19628459.587545693</v>
      </c>
      <c r="E52" s="35">
        <f t="shared" si="16"/>
        <v>0</v>
      </c>
      <c r="F52" s="35">
        <f t="shared" si="30"/>
        <v>-5118303.6868076613</v>
      </c>
      <c r="G52" s="35">
        <f t="shared" si="22"/>
        <v>1373992.1711281987</v>
      </c>
      <c r="H52" s="35">
        <f t="shared" si="23"/>
        <v>0</v>
      </c>
      <c r="I52" s="35">
        <f t="shared" si="24"/>
        <v>0</v>
      </c>
      <c r="J52" s="35">
        <f t="shared" si="25"/>
        <v>-102366.07373615322</v>
      </c>
      <c r="K52" s="35">
        <f t="shared" si="26"/>
        <v>1271626.0973920454</v>
      </c>
      <c r="L52" s="35">
        <f t="shared" si="27"/>
        <v>314479.5331271477</v>
      </c>
      <c r="M52" s="35">
        <f>IF(mtm=FALSE, SUM($G$8:G52), 0)</f>
        <v>0</v>
      </c>
      <c r="N52" s="35">
        <f t="shared" si="17"/>
        <v>0</v>
      </c>
      <c r="O52" s="35">
        <f t="shared" si="18"/>
        <v>0</v>
      </c>
      <c r="P52" s="35">
        <f t="shared" si="19"/>
        <v>0</v>
      </c>
      <c r="Q52" s="35">
        <f t="shared" si="20"/>
        <v>-102366.07373615322</v>
      </c>
      <c r="R52" s="35">
        <f t="shared" si="11"/>
        <v>314479.5331271477</v>
      </c>
      <c r="S52" s="35">
        <f t="shared" si="21"/>
        <v>-416845.6068633009</v>
      </c>
      <c r="T52" s="35">
        <f t="shared" si="12"/>
        <v>15467302.465002928</v>
      </c>
      <c r="U52" s="35">
        <f t="shared" si="13"/>
        <v>1000000</v>
      </c>
      <c r="V52" s="35">
        <f t="shared" si="28"/>
        <v>4480508.7641509073</v>
      </c>
      <c r="W52" s="35">
        <f t="shared" si="14"/>
        <v>10986793.700852022</v>
      </c>
    </row>
    <row r="53" spans="3:23" x14ac:dyDescent="0.25">
      <c r="C53" s="34" t="str">
        <f t="shared" si="31"/>
        <v/>
      </c>
      <c r="D53" s="35">
        <f t="shared" si="29"/>
        <v>21002451.758673891</v>
      </c>
      <c r="E53" s="35">
        <f t="shared" si="16"/>
        <v>0</v>
      </c>
      <c r="F53" s="35">
        <f t="shared" si="30"/>
        <v>-5535149.2936709626</v>
      </c>
      <c r="G53" s="35">
        <f t="shared" si="22"/>
        <v>1470171.6231071725</v>
      </c>
      <c r="H53" s="35">
        <f t="shared" si="23"/>
        <v>0</v>
      </c>
      <c r="I53" s="35">
        <f t="shared" si="24"/>
        <v>0</v>
      </c>
      <c r="J53" s="35">
        <f t="shared" si="25"/>
        <v>-110702.98587341925</v>
      </c>
      <c r="K53" s="35">
        <f t="shared" si="26"/>
        <v>1359468.6372337532</v>
      </c>
      <c r="L53" s="35">
        <f t="shared" si="27"/>
        <v>337142.90840630833</v>
      </c>
      <c r="M53" s="35">
        <f>IF(mtm=FALSE, SUM($G$8:G53), 0)</f>
        <v>0</v>
      </c>
      <c r="N53" s="35">
        <f t="shared" si="17"/>
        <v>0</v>
      </c>
      <c r="O53" s="35">
        <f t="shared" si="18"/>
        <v>0</v>
      </c>
      <c r="P53" s="35">
        <f t="shared" si="19"/>
        <v>0</v>
      </c>
      <c r="Q53" s="35">
        <f t="shared" si="20"/>
        <v>-110702.98587341925</v>
      </c>
      <c r="R53" s="35">
        <f t="shared" si="11"/>
        <v>337142.90840630833</v>
      </c>
      <c r="S53" s="35">
        <f t="shared" si="21"/>
        <v>-447845.8942797276</v>
      </c>
      <c r="T53" s="35">
        <f t="shared" si="12"/>
        <v>16489628.193830373</v>
      </c>
      <c r="U53" s="35">
        <f t="shared" si="13"/>
        <v>1000000</v>
      </c>
      <c r="V53" s="35">
        <f t="shared" si="28"/>
        <v>4797429.7400874151</v>
      </c>
      <c r="W53" s="35">
        <f t="shared" si="14"/>
        <v>11692198.453742959</v>
      </c>
    </row>
    <row r="54" spans="3:23" x14ac:dyDescent="0.25">
      <c r="C54" s="34" t="str">
        <f t="shared" si="31"/>
        <v/>
      </c>
      <c r="D54" s="35">
        <f t="shared" si="29"/>
        <v>22472623.381781064</v>
      </c>
      <c r="E54" s="35">
        <f t="shared" si="16"/>
        <v>0</v>
      </c>
      <c r="F54" s="35">
        <f t="shared" si="30"/>
        <v>-5982995.1879506903</v>
      </c>
      <c r="G54" s="35">
        <f t="shared" si="22"/>
        <v>1573083.6367246746</v>
      </c>
      <c r="H54" s="35">
        <f t="shared" si="23"/>
        <v>0</v>
      </c>
      <c r="I54" s="35">
        <f t="shared" si="24"/>
        <v>0</v>
      </c>
      <c r="J54" s="35">
        <f t="shared" si="25"/>
        <v>-119659.9037590138</v>
      </c>
      <c r="K54" s="35">
        <f t="shared" si="26"/>
        <v>1453423.7329656607</v>
      </c>
      <c r="L54" s="35">
        <f t="shared" si="27"/>
        <v>361383.32310514047</v>
      </c>
      <c r="M54" s="35">
        <f>IF(mtm=FALSE, SUM($G$8:G54), 0)</f>
        <v>0</v>
      </c>
      <c r="N54" s="35">
        <f t="shared" si="17"/>
        <v>0</v>
      </c>
      <c r="O54" s="35">
        <f t="shared" si="18"/>
        <v>0</v>
      </c>
      <c r="P54" s="35">
        <f t="shared" si="19"/>
        <v>0</v>
      </c>
      <c r="Q54" s="35">
        <f t="shared" si="20"/>
        <v>-119659.9037590138</v>
      </c>
      <c r="R54" s="35">
        <f t="shared" si="11"/>
        <v>361383.32310514047</v>
      </c>
      <c r="S54" s="35">
        <f t="shared" si="21"/>
        <v>-481043.22686415428</v>
      </c>
      <c r="T54" s="35">
        <f t="shared" si="12"/>
        <v>17581668.603690892</v>
      </c>
      <c r="U54" s="35">
        <f t="shared" si="13"/>
        <v>1000000</v>
      </c>
      <c r="V54" s="35">
        <f t="shared" si="28"/>
        <v>5135962.2671441762</v>
      </c>
      <c r="W54" s="35">
        <f t="shared" si="14"/>
        <v>12445706.336546715</v>
      </c>
    </row>
    <row r="55" spans="3:23" x14ac:dyDescent="0.25">
      <c r="C55" s="34" t="str">
        <f t="shared" si="31"/>
        <v/>
      </c>
      <c r="D55" s="35">
        <f t="shared" si="29"/>
        <v>24045707.018505737</v>
      </c>
      <c r="E55" s="35">
        <f t="shared" si="16"/>
        <v>0</v>
      </c>
      <c r="F55" s="35">
        <f t="shared" si="30"/>
        <v>-6464038.4148148447</v>
      </c>
      <c r="G55" s="35">
        <f t="shared" si="22"/>
        <v>1683199.4912954017</v>
      </c>
      <c r="H55" s="35">
        <f t="shared" si="23"/>
        <v>0</v>
      </c>
      <c r="I55" s="35">
        <f t="shared" si="24"/>
        <v>0</v>
      </c>
      <c r="J55" s="35">
        <f t="shared" si="25"/>
        <v>-129280.7682962969</v>
      </c>
      <c r="K55" s="35">
        <f t="shared" si="26"/>
        <v>1553918.7229991048</v>
      </c>
      <c r="L55" s="35">
        <f t="shared" si="27"/>
        <v>387311.03053376905</v>
      </c>
      <c r="M55" s="35">
        <f>IF(mtm=FALSE, SUM($G$8:G55), 0)</f>
        <v>0</v>
      </c>
      <c r="N55" s="35">
        <f t="shared" si="17"/>
        <v>0</v>
      </c>
      <c r="O55" s="35">
        <f t="shared" si="18"/>
        <v>0</v>
      </c>
      <c r="P55" s="35">
        <f t="shared" si="19"/>
        <v>0</v>
      </c>
      <c r="Q55" s="35">
        <f t="shared" si="20"/>
        <v>-129280.7682962969</v>
      </c>
      <c r="R55" s="35">
        <f t="shared" si="11"/>
        <v>387311.03053376905</v>
      </c>
      <c r="S55" s="35">
        <f t="shared" si="21"/>
        <v>-516591.79883006593</v>
      </c>
      <c r="T55" s="35">
        <f t="shared" si="12"/>
        <v>18748276.296156228</v>
      </c>
      <c r="U55" s="35">
        <f t="shared" si="13"/>
        <v>1000000</v>
      </c>
      <c r="V55" s="35">
        <f t="shared" si="28"/>
        <v>5497610.6518084304</v>
      </c>
      <c r="W55" s="35">
        <f t="shared" si="14"/>
        <v>13250665.644347798</v>
      </c>
    </row>
    <row r="56" spans="3:23" x14ac:dyDescent="0.25">
      <c r="C56" s="34" t="str">
        <f t="shared" si="31"/>
        <v/>
      </c>
      <c r="D56" s="35">
        <f t="shared" si="29"/>
        <v>25728906.509801138</v>
      </c>
      <c r="E56" s="35">
        <f t="shared" si="16"/>
        <v>0</v>
      </c>
      <c r="F56" s="35">
        <f t="shared" si="30"/>
        <v>-6980630.2136449106</v>
      </c>
      <c r="G56" s="35">
        <f t="shared" si="22"/>
        <v>1801023.4556860798</v>
      </c>
      <c r="H56" s="35">
        <f t="shared" si="23"/>
        <v>0</v>
      </c>
      <c r="I56" s="35">
        <f t="shared" si="24"/>
        <v>0</v>
      </c>
      <c r="J56" s="35">
        <f t="shared" si="25"/>
        <v>-139612.60427289823</v>
      </c>
      <c r="K56" s="35">
        <f t="shared" si="26"/>
        <v>1661410.8514131815</v>
      </c>
      <c r="L56" s="35">
        <f t="shared" si="27"/>
        <v>415043.99966460082</v>
      </c>
      <c r="M56" s="35">
        <f>IF(mtm=FALSE, SUM($G$8:G56), 0)</f>
        <v>0</v>
      </c>
      <c r="N56" s="35">
        <f t="shared" si="17"/>
        <v>0</v>
      </c>
      <c r="O56" s="35">
        <f t="shared" si="18"/>
        <v>0</v>
      </c>
      <c r="P56" s="35">
        <f t="shared" si="19"/>
        <v>0</v>
      </c>
      <c r="Q56" s="35">
        <f t="shared" si="20"/>
        <v>-139612.60427289823</v>
      </c>
      <c r="R56" s="35">
        <f t="shared" si="11"/>
        <v>415043.99966460082</v>
      </c>
      <c r="S56" s="35">
        <f t="shared" si="21"/>
        <v>-554656.60393749899</v>
      </c>
      <c r="T56" s="35">
        <f t="shared" si="12"/>
        <v>19994643.14790481</v>
      </c>
      <c r="U56" s="35">
        <f t="shared" si="13"/>
        <v>1000000</v>
      </c>
      <c r="V56" s="35">
        <f t="shared" si="28"/>
        <v>5883984.3758504912</v>
      </c>
      <c r="W56" s="35">
        <f t="shared" si="14"/>
        <v>14110658.772054318</v>
      </c>
    </row>
    <row r="57" spans="3:23" x14ac:dyDescent="0.25">
      <c r="C57" s="34" t="str">
        <f t="shared" si="31"/>
        <v/>
      </c>
      <c r="D57" s="35">
        <f t="shared" si="29"/>
        <v>27529929.965487219</v>
      </c>
      <c r="E57" s="35">
        <f t="shared" si="16"/>
        <v>0</v>
      </c>
      <c r="F57" s="35">
        <f t="shared" si="30"/>
        <v>-7535286.8175824098</v>
      </c>
      <c r="G57" s="35">
        <f t="shared" si="22"/>
        <v>1927095.0975841056</v>
      </c>
      <c r="H57" s="35">
        <f t="shared" si="23"/>
        <v>0</v>
      </c>
      <c r="I57" s="35">
        <f t="shared" si="24"/>
        <v>0</v>
      </c>
      <c r="J57" s="35">
        <f t="shared" si="25"/>
        <v>-150705.7363516482</v>
      </c>
      <c r="K57" s="35">
        <f t="shared" si="26"/>
        <v>1776389.3612324574</v>
      </c>
      <c r="L57" s="35">
        <f t="shared" si="27"/>
        <v>444708.45519797405</v>
      </c>
      <c r="M57" s="35">
        <f>IF(mtm=FALSE, SUM($G$8:G57), 0)</f>
        <v>0</v>
      </c>
      <c r="N57" s="35">
        <f t="shared" si="17"/>
        <v>0</v>
      </c>
      <c r="O57" s="35">
        <f t="shared" si="18"/>
        <v>0</v>
      </c>
      <c r="P57" s="35">
        <f t="shared" si="19"/>
        <v>0</v>
      </c>
      <c r="Q57" s="35">
        <f t="shared" si="20"/>
        <v>-150705.7363516482</v>
      </c>
      <c r="R57" s="35">
        <f t="shared" si="11"/>
        <v>444708.45519797405</v>
      </c>
      <c r="S57" s="35">
        <f t="shared" si="21"/>
        <v>-595414.19154962222</v>
      </c>
      <c r="T57" s="35">
        <f t="shared" si="12"/>
        <v>21326324.053939294</v>
      </c>
      <c r="U57" s="35">
        <f t="shared" si="13"/>
        <v>1000000</v>
      </c>
      <c r="V57" s="35">
        <f t="shared" si="28"/>
        <v>6296805.456721181</v>
      </c>
      <c r="W57" s="35">
        <f t="shared" si="14"/>
        <v>15029518.597218113</v>
      </c>
    </row>
    <row r="58" spans="3:23" x14ac:dyDescent="0.25">
      <c r="C58" s="34" t="str">
        <f t="shared" si="31"/>
        <v/>
      </c>
      <c r="D58" s="35">
        <f t="shared" si="29"/>
        <v>29457025.063071325</v>
      </c>
      <c r="E58" s="35">
        <f t="shared" si="16"/>
        <v>0</v>
      </c>
      <c r="F58" s="35">
        <f t="shared" si="30"/>
        <v>-8130701.0091320323</v>
      </c>
      <c r="G58" s="35">
        <f t="shared" si="22"/>
        <v>2061991.7544149929</v>
      </c>
      <c r="H58" s="35">
        <f t="shared" si="23"/>
        <v>0</v>
      </c>
      <c r="I58" s="35">
        <f t="shared" si="24"/>
        <v>0</v>
      </c>
      <c r="J58" s="35">
        <f t="shared" si="25"/>
        <v>-162614.02018264064</v>
      </c>
      <c r="K58" s="35">
        <f t="shared" si="26"/>
        <v>1899377.7342323521</v>
      </c>
      <c r="L58" s="35">
        <f t="shared" si="27"/>
        <v>476439.45543194684</v>
      </c>
      <c r="M58" s="35">
        <f>IF(mtm=FALSE, SUM($G$8:G58), 0)</f>
        <v>0</v>
      </c>
      <c r="N58" s="35">
        <f t="shared" si="17"/>
        <v>0</v>
      </c>
      <c r="O58" s="35">
        <f t="shared" si="18"/>
        <v>0</v>
      </c>
      <c r="P58" s="35">
        <f t="shared" si="19"/>
        <v>0</v>
      </c>
      <c r="Q58" s="35">
        <f t="shared" si="20"/>
        <v>-162614.02018264064</v>
      </c>
      <c r="R58" s="35">
        <f t="shared" si="11"/>
        <v>476439.45543194684</v>
      </c>
      <c r="S58" s="35">
        <f t="shared" si="21"/>
        <v>-639053.47561458754</v>
      </c>
      <c r="T58" s="35">
        <f t="shared" si="12"/>
        <v>22749262.332739703</v>
      </c>
      <c r="U58" s="35">
        <f t="shared" si="13"/>
        <v>1000000</v>
      </c>
      <c r="V58" s="35">
        <f t="shared" si="28"/>
        <v>6737916.3231493076</v>
      </c>
      <c r="W58" s="35">
        <f t="shared" si="14"/>
        <v>16011346.009590395</v>
      </c>
    </row>
    <row r="59" spans="3:23" x14ac:dyDescent="0.25">
      <c r="C59" s="34" t="str">
        <f t="shared" si="31"/>
        <v/>
      </c>
      <c r="D59" s="35">
        <f t="shared" si="29"/>
        <v>31519016.81748632</v>
      </c>
      <c r="E59" s="35">
        <f t="shared" si="16"/>
        <v>0</v>
      </c>
      <c r="F59" s="35">
        <f t="shared" si="30"/>
        <v>-8769754.4847466201</v>
      </c>
      <c r="G59" s="35">
        <f t="shared" si="22"/>
        <v>2206331.1772240424</v>
      </c>
      <c r="H59" s="35">
        <f t="shared" si="23"/>
        <v>0</v>
      </c>
      <c r="I59" s="35">
        <f t="shared" si="24"/>
        <v>0</v>
      </c>
      <c r="J59" s="35">
        <f t="shared" si="25"/>
        <v>-175395.08969493239</v>
      </c>
      <c r="K59" s="35">
        <f t="shared" si="26"/>
        <v>2030936.08752911</v>
      </c>
      <c r="L59" s="35">
        <f t="shared" si="27"/>
        <v>510381.51058251038</v>
      </c>
      <c r="M59" s="35">
        <f>IF(mtm=FALSE, SUM($G$8:G59), 0)</f>
        <v>0</v>
      </c>
      <c r="N59" s="35">
        <f t="shared" si="17"/>
        <v>0</v>
      </c>
      <c r="O59" s="35">
        <f t="shared" si="18"/>
        <v>0</v>
      </c>
      <c r="P59" s="35">
        <f t="shared" si="19"/>
        <v>0</v>
      </c>
      <c r="Q59" s="35">
        <f t="shared" si="20"/>
        <v>-175395.08969493239</v>
      </c>
      <c r="R59" s="35">
        <f t="shared" si="11"/>
        <v>510381.51058251038</v>
      </c>
      <c r="S59" s="35">
        <f t="shared" si="21"/>
        <v>-685776.60027744272</v>
      </c>
      <c r="T59" s="35">
        <f t="shared" si="12"/>
        <v>24269816.909686301</v>
      </c>
      <c r="U59" s="35">
        <f t="shared" si="13"/>
        <v>1000000</v>
      </c>
      <c r="V59" s="35">
        <f t="shared" si="28"/>
        <v>7209288.2420027535</v>
      </c>
      <c r="W59" s="35">
        <f t="shared" si="14"/>
        <v>17060528.667683549</v>
      </c>
    </row>
    <row r="60" spans="3:23" x14ac:dyDescent="0.25">
      <c r="C60" s="34" t="str">
        <f t="shared" si="31"/>
        <v/>
      </c>
      <c r="D60" s="35">
        <f t="shared" si="29"/>
        <v>33725347.994710363</v>
      </c>
      <c r="E60" s="35">
        <f t="shared" si="16"/>
        <v>0</v>
      </c>
      <c r="F60" s="35">
        <f t="shared" si="30"/>
        <v>-9455531.0850240625</v>
      </c>
      <c r="G60" s="35">
        <f t="shared" si="22"/>
        <v>2360774.3596297256</v>
      </c>
      <c r="H60" s="35">
        <f t="shared" si="23"/>
        <v>0</v>
      </c>
      <c r="I60" s="35">
        <f t="shared" si="24"/>
        <v>0</v>
      </c>
      <c r="J60" s="35">
        <f t="shared" si="25"/>
        <v>-189110.62170048125</v>
      </c>
      <c r="K60" s="35">
        <f t="shared" si="26"/>
        <v>2171663.7379292445</v>
      </c>
      <c r="L60" s="35">
        <f t="shared" si="27"/>
        <v>546689.24438574514</v>
      </c>
      <c r="M60" s="35">
        <f>IF(mtm=FALSE, SUM($G$8:G60), 0)</f>
        <v>0</v>
      </c>
      <c r="N60" s="35">
        <f t="shared" si="17"/>
        <v>0</v>
      </c>
      <c r="O60" s="35">
        <f t="shared" si="18"/>
        <v>0</v>
      </c>
      <c r="P60" s="35">
        <f t="shared" si="19"/>
        <v>0</v>
      </c>
      <c r="Q60" s="35">
        <f t="shared" si="20"/>
        <v>-189110.62170048125</v>
      </c>
      <c r="R60" s="35">
        <f t="shared" si="11"/>
        <v>546689.24438574514</v>
      </c>
      <c r="S60" s="35">
        <f t="shared" si="21"/>
        <v>-735799.86608622642</v>
      </c>
      <c r="T60" s="35">
        <f t="shared" si="12"/>
        <v>25894791.403229799</v>
      </c>
      <c r="U60" s="35">
        <f t="shared" si="13"/>
        <v>1000000</v>
      </c>
      <c r="V60" s="35">
        <f t="shared" si="28"/>
        <v>7713030.3350012377</v>
      </c>
      <c r="W60" s="35">
        <f t="shared" si="14"/>
        <v>18181761.068228561</v>
      </c>
    </row>
    <row r="61" spans="3:23" x14ac:dyDescent="0.25">
      <c r="C61" s="34" t="str">
        <f t="shared" si="31"/>
        <v/>
      </c>
      <c r="D61" s="35">
        <f t="shared" si="29"/>
        <v>36086122.354340091</v>
      </c>
      <c r="E61" s="35">
        <f t="shared" si="16"/>
        <v>0</v>
      </c>
      <c r="F61" s="35">
        <f t="shared" si="30"/>
        <v>-10191330.951110289</v>
      </c>
      <c r="G61" s="35">
        <f t="shared" si="22"/>
        <v>2526028.5648038066</v>
      </c>
      <c r="H61" s="35">
        <f t="shared" si="23"/>
        <v>0</v>
      </c>
      <c r="I61" s="35">
        <f t="shared" si="24"/>
        <v>0</v>
      </c>
      <c r="J61" s="35">
        <f t="shared" si="25"/>
        <v>-203826.61902220576</v>
      </c>
      <c r="K61" s="35">
        <f t="shared" si="26"/>
        <v>2322201.9457816007</v>
      </c>
      <c r="L61" s="35">
        <f t="shared" si="27"/>
        <v>585528.10201165301</v>
      </c>
      <c r="M61" s="35">
        <f>IF(mtm=FALSE, SUM($G$8:G61), 0)</f>
        <v>0</v>
      </c>
      <c r="N61" s="35">
        <f t="shared" si="17"/>
        <v>0</v>
      </c>
      <c r="O61" s="35">
        <f t="shared" si="18"/>
        <v>0</v>
      </c>
      <c r="P61" s="35">
        <f t="shared" si="19"/>
        <v>0</v>
      </c>
      <c r="Q61" s="35">
        <f t="shared" si="20"/>
        <v>-203826.61902220576</v>
      </c>
      <c r="R61" s="35">
        <f t="shared" si="11"/>
        <v>585528.10201165301</v>
      </c>
      <c r="S61" s="35">
        <f t="shared" si="21"/>
        <v>-789354.72103385883</v>
      </c>
      <c r="T61" s="35">
        <f t="shared" si="12"/>
        <v>27631465.246999748</v>
      </c>
      <c r="U61" s="35">
        <f t="shared" si="13"/>
        <v>1000000</v>
      </c>
      <c r="V61" s="35">
        <f t="shared" si="28"/>
        <v>8251399.2265699217</v>
      </c>
      <c r="W61" s="35">
        <f t="shared" si="14"/>
        <v>19380066.020429827</v>
      </c>
    </row>
    <row r="62" spans="3:23" x14ac:dyDescent="0.25">
      <c r="C62" s="34" t="str">
        <f t="shared" si="31"/>
        <v/>
      </c>
      <c r="D62" s="35">
        <f t="shared" si="29"/>
        <v>38612150.9191439</v>
      </c>
      <c r="E62" s="35">
        <f t="shared" si="16"/>
        <v>0</v>
      </c>
      <c r="F62" s="35">
        <f t="shared" si="30"/>
        <v>-10980685.672144147</v>
      </c>
      <c r="G62" s="35">
        <f t="shared" si="22"/>
        <v>2702850.5643400731</v>
      </c>
      <c r="H62" s="35">
        <f t="shared" si="23"/>
        <v>0</v>
      </c>
      <c r="I62" s="35">
        <f t="shared" si="24"/>
        <v>0</v>
      </c>
      <c r="J62" s="35">
        <f t="shared" si="25"/>
        <v>-219613.71344288293</v>
      </c>
      <c r="K62" s="35">
        <f t="shared" si="26"/>
        <v>2483236.8508971902</v>
      </c>
      <c r="L62" s="35">
        <f t="shared" si="27"/>
        <v>627075.10753147502</v>
      </c>
      <c r="M62" s="35">
        <f>IF(mtm=FALSE, SUM($G$8:G62), 0)</f>
        <v>0</v>
      </c>
      <c r="N62" s="35">
        <f t="shared" si="17"/>
        <v>0</v>
      </c>
      <c r="O62" s="35">
        <f t="shared" si="18"/>
        <v>0</v>
      </c>
      <c r="P62" s="35">
        <f t="shared" si="19"/>
        <v>0</v>
      </c>
      <c r="Q62" s="35">
        <f t="shared" si="20"/>
        <v>-219613.71344288293</v>
      </c>
      <c r="R62" s="35">
        <f t="shared" si="11"/>
        <v>627075.10753147502</v>
      </c>
      <c r="S62" s="35">
        <f t="shared" si="21"/>
        <v>-846688.82097435789</v>
      </c>
      <c r="T62" s="35">
        <f t="shared" si="12"/>
        <v>29487626.990365468</v>
      </c>
      <c r="U62" s="35">
        <f t="shared" si="13"/>
        <v>1000000</v>
      </c>
      <c r="V62" s="35">
        <f t="shared" si="28"/>
        <v>8826809.3670132942</v>
      </c>
      <c r="W62" s="35">
        <f t="shared" si="14"/>
        <v>20660817.623352174</v>
      </c>
    </row>
    <row r="63" spans="3:23" x14ac:dyDescent="0.25">
      <c r="C63" s="34" t="str">
        <f t="shared" si="31"/>
        <v/>
      </c>
      <c r="D63" s="35">
        <f t="shared" si="29"/>
        <v>41315001.48348397</v>
      </c>
      <c r="E63" s="35">
        <f t="shared" si="16"/>
        <v>0</v>
      </c>
      <c r="F63" s="35">
        <f t="shared" si="30"/>
        <v>-11827374.493118504</v>
      </c>
      <c r="G63" s="35">
        <f t="shared" si="22"/>
        <v>2892050.103843878</v>
      </c>
      <c r="H63" s="35">
        <f t="shared" si="23"/>
        <v>0</v>
      </c>
      <c r="I63" s="35">
        <f t="shared" si="24"/>
        <v>0</v>
      </c>
      <c r="J63" s="35">
        <f t="shared" si="25"/>
        <v>-236547.48986237007</v>
      </c>
      <c r="K63" s="35">
        <f t="shared" si="26"/>
        <v>2655502.6139815077</v>
      </c>
      <c r="L63" s="35">
        <f t="shared" si="27"/>
        <v>671519.67440722906</v>
      </c>
      <c r="M63" s="35">
        <f>IF(mtm=FALSE, SUM($G$8:G63), 0)</f>
        <v>0</v>
      </c>
      <c r="N63" s="35">
        <f t="shared" si="17"/>
        <v>0</v>
      </c>
      <c r="O63" s="35">
        <f t="shared" si="18"/>
        <v>0</v>
      </c>
      <c r="P63" s="35">
        <f t="shared" si="19"/>
        <v>0</v>
      </c>
      <c r="Q63" s="35">
        <f t="shared" si="20"/>
        <v>-236547.48986237007</v>
      </c>
      <c r="R63" s="35">
        <f t="shared" si="11"/>
        <v>671519.67440722906</v>
      </c>
      <c r="S63" s="35">
        <f t="shared" si="21"/>
        <v>-908067.16426959913</v>
      </c>
      <c r="T63" s="35">
        <f t="shared" si="12"/>
        <v>31471609.929939747</v>
      </c>
      <c r="U63" s="35">
        <f t="shared" si="13"/>
        <v>1000000</v>
      </c>
      <c r="V63" s="35">
        <f t="shared" si="28"/>
        <v>9441844.0782813206</v>
      </c>
      <c r="W63" s="35">
        <f t="shared" si="14"/>
        <v>22029765.851658426</v>
      </c>
    </row>
    <row r="64" spans="3:23" x14ac:dyDescent="0.25">
      <c r="C64" s="34" t="str">
        <f t="shared" si="31"/>
        <v/>
      </c>
      <c r="D64" s="35">
        <f t="shared" si="29"/>
        <v>44207051.587327845</v>
      </c>
      <c r="E64" s="35">
        <f t="shared" si="16"/>
        <v>0</v>
      </c>
      <c r="F64" s="35">
        <f t="shared" si="30"/>
        <v>-12735441.657388102</v>
      </c>
      <c r="G64" s="35">
        <f t="shared" si="22"/>
        <v>3094493.6111129494</v>
      </c>
      <c r="H64" s="35">
        <f t="shared" si="23"/>
        <v>0</v>
      </c>
      <c r="I64" s="35">
        <f t="shared" si="24"/>
        <v>0</v>
      </c>
      <c r="J64" s="35">
        <f t="shared" si="25"/>
        <v>-254708.83314776205</v>
      </c>
      <c r="K64" s="35">
        <f t="shared" si="26"/>
        <v>2839784.7779651876</v>
      </c>
      <c r="L64" s="35">
        <f t="shared" si="27"/>
        <v>719064.47271501843</v>
      </c>
      <c r="M64" s="35">
        <f>IF(mtm=FALSE, SUM($G$8:G64), 0)</f>
        <v>0</v>
      </c>
      <c r="N64" s="35">
        <f t="shared" si="17"/>
        <v>0</v>
      </c>
      <c r="O64" s="35">
        <f t="shared" si="18"/>
        <v>0</v>
      </c>
      <c r="P64" s="35">
        <f t="shared" si="19"/>
        <v>0</v>
      </c>
      <c r="Q64" s="35">
        <f t="shared" si="20"/>
        <v>-254708.83314776205</v>
      </c>
      <c r="R64" s="35">
        <f t="shared" si="11"/>
        <v>719064.47271501843</v>
      </c>
      <c r="S64" s="35">
        <f t="shared" si="21"/>
        <v>-973773.30586278043</v>
      </c>
      <c r="T64" s="35">
        <f t="shared" si="12"/>
        <v>33592330.235189907</v>
      </c>
      <c r="U64" s="35">
        <f t="shared" si="13"/>
        <v>1000000</v>
      </c>
      <c r="V64" s="35">
        <f t="shared" si="28"/>
        <v>10099267.372908872</v>
      </c>
      <c r="W64" s="35">
        <f t="shared" si="14"/>
        <v>23493062.862281036</v>
      </c>
    </row>
    <row r="65" spans="3:23" x14ac:dyDescent="0.25">
      <c r="C65" s="34" t="str">
        <f t="shared" si="31"/>
        <v/>
      </c>
      <c r="D65" s="35">
        <f t="shared" si="29"/>
        <v>47301545.198440798</v>
      </c>
      <c r="E65" s="35">
        <f t="shared" si="16"/>
        <v>0</v>
      </c>
      <c r="F65" s="35">
        <f t="shared" si="30"/>
        <v>-13709214.963250883</v>
      </c>
      <c r="G65" s="35">
        <f t="shared" si="22"/>
        <v>3311108.1638908563</v>
      </c>
      <c r="H65" s="35">
        <f t="shared" si="23"/>
        <v>0</v>
      </c>
      <c r="I65" s="35">
        <f t="shared" si="24"/>
        <v>0</v>
      </c>
      <c r="J65" s="35">
        <f t="shared" si="25"/>
        <v>-274184.29926501767</v>
      </c>
      <c r="K65" s="35">
        <f t="shared" si="26"/>
        <v>3036923.8646258386</v>
      </c>
      <c r="L65" s="35">
        <f t="shared" si="27"/>
        <v>769926.35707346641</v>
      </c>
      <c r="M65" s="35">
        <f>IF(mtm=FALSE, SUM($G$8:G65), 0)</f>
        <v>0</v>
      </c>
      <c r="N65" s="35">
        <f t="shared" si="17"/>
        <v>0</v>
      </c>
      <c r="O65" s="35">
        <f t="shared" si="18"/>
        <v>0</v>
      </c>
      <c r="P65" s="35">
        <f t="shared" si="19"/>
        <v>0</v>
      </c>
      <c r="Q65" s="35">
        <f t="shared" si="20"/>
        <v>-274184.29926501767</v>
      </c>
      <c r="R65" s="35">
        <f t="shared" si="11"/>
        <v>769926.35707346641</v>
      </c>
      <c r="S65" s="35">
        <f t="shared" si="21"/>
        <v>-1044110.656338484</v>
      </c>
      <c r="T65" s="35">
        <f t="shared" si="12"/>
        <v>35859327.742742285</v>
      </c>
      <c r="U65" s="35">
        <f t="shared" si="13"/>
        <v>1000000</v>
      </c>
      <c r="V65" s="35">
        <f t="shared" si="28"/>
        <v>10802036.600250108</v>
      </c>
      <c r="W65" s="35">
        <f t="shared" si="14"/>
        <v>25057291.142492175</v>
      </c>
    </row>
    <row r="66" spans="3:23" x14ac:dyDescent="0.25">
      <c r="C66" s="34" t="str">
        <f t="shared" si="31"/>
        <v/>
      </c>
      <c r="D66" s="35">
        <f t="shared" si="29"/>
        <v>50612653.362331651</v>
      </c>
      <c r="E66" s="35">
        <f t="shared" si="16"/>
        <v>0</v>
      </c>
      <c r="F66" s="35">
        <f t="shared" si="30"/>
        <v>-14753325.619589366</v>
      </c>
      <c r="G66" s="35">
        <f t="shared" si="22"/>
        <v>3542885.7353632161</v>
      </c>
      <c r="H66" s="35">
        <f t="shared" si="23"/>
        <v>0</v>
      </c>
      <c r="I66" s="35">
        <f t="shared" si="24"/>
        <v>0</v>
      </c>
      <c r="J66" s="35">
        <f t="shared" si="25"/>
        <v>-295066.51239178731</v>
      </c>
      <c r="K66" s="35">
        <f t="shared" si="26"/>
        <v>3247819.2229714287</v>
      </c>
      <c r="L66" s="35">
        <f t="shared" si="27"/>
        <v>824337.35952662863</v>
      </c>
      <c r="M66" s="35">
        <f>IF(mtm=FALSE, SUM($G$8:G66), 0)</f>
        <v>0</v>
      </c>
      <c r="N66" s="35">
        <f t="shared" si="17"/>
        <v>0</v>
      </c>
      <c r="O66" s="35">
        <f t="shared" si="18"/>
        <v>0</v>
      </c>
      <c r="P66" s="35">
        <f t="shared" si="19"/>
        <v>0</v>
      </c>
      <c r="Q66" s="35">
        <f t="shared" si="20"/>
        <v>-295066.51239178731</v>
      </c>
      <c r="R66" s="35">
        <f t="shared" si="11"/>
        <v>824337.35952662863</v>
      </c>
      <c r="S66" s="35">
        <f t="shared" si="21"/>
        <v>-1119403.8719184159</v>
      </c>
      <c r="T66" s="35">
        <f t="shared" si="12"/>
        <v>38282809.606187083</v>
      </c>
      <c r="U66" s="35">
        <f t="shared" si="13"/>
        <v>1000000</v>
      </c>
      <c r="V66" s="35">
        <f t="shared" si="28"/>
        <v>11553315.977917995</v>
      </c>
      <c r="W66" s="35">
        <f t="shared" si="14"/>
        <v>26729493.628269088</v>
      </c>
    </row>
    <row r="67" spans="3:23" x14ac:dyDescent="0.25">
      <c r="C67" s="34" t="str">
        <f t="shared" si="31"/>
        <v/>
      </c>
      <c r="D67" s="35">
        <f t="shared" si="29"/>
        <v>54155539.097694866</v>
      </c>
      <c r="E67" s="35">
        <f t="shared" si="16"/>
        <v>0</v>
      </c>
      <c r="F67" s="35">
        <f t="shared" si="30"/>
        <v>-15872729.491507782</v>
      </c>
      <c r="G67" s="35">
        <f t="shared" si="22"/>
        <v>3790887.7368386411</v>
      </c>
      <c r="H67" s="35">
        <f t="shared" si="23"/>
        <v>0</v>
      </c>
      <c r="I67" s="35">
        <f t="shared" si="24"/>
        <v>0</v>
      </c>
      <c r="J67" s="35">
        <f t="shared" si="25"/>
        <v>-317454.58983015566</v>
      </c>
      <c r="K67" s="35">
        <f t="shared" si="26"/>
        <v>3473433.1470084856</v>
      </c>
      <c r="L67" s="35">
        <f t="shared" si="27"/>
        <v>882545.7519281893</v>
      </c>
      <c r="M67" s="35">
        <f>IF(mtm=FALSE, SUM($G$8:G67), 0)</f>
        <v>0</v>
      </c>
      <c r="N67" s="35">
        <f t="shared" si="17"/>
        <v>0</v>
      </c>
      <c r="O67" s="35">
        <f t="shared" si="18"/>
        <v>0</v>
      </c>
      <c r="P67" s="35">
        <f t="shared" si="19"/>
        <v>0</v>
      </c>
      <c r="Q67" s="35">
        <f t="shared" si="20"/>
        <v>-317454.58983015566</v>
      </c>
      <c r="R67" s="35">
        <f t="shared" si="11"/>
        <v>882545.7519281893</v>
      </c>
      <c r="S67" s="35">
        <f t="shared" si="21"/>
        <v>-1200000.341758345</v>
      </c>
      <c r="T67" s="35">
        <f t="shared" si="12"/>
        <v>40873697.001267381</v>
      </c>
      <c r="U67" s="35">
        <f t="shared" si="13"/>
        <v>1000000</v>
      </c>
      <c r="V67" s="35">
        <f t="shared" si="28"/>
        <v>12356491.070392888</v>
      </c>
      <c r="W67" s="35">
        <f t="shared" si="14"/>
        <v>28517205.930874493</v>
      </c>
    </row>
    <row r="68" spans="3:23" x14ac:dyDescent="0.25">
      <c r="C68" s="34" t="str">
        <f t="shared" si="31"/>
        <v/>
      </c>
      <c r="D68" s="35">
        <f t="shared" si="29"/>
        <v>57946426.834533505</v>
      </c>
      <c r="E68" s="35">
        <f t="shared" si="16"/>
        <v>0</v>
      </c>
      <c r="F68" s="35">
        <f t="shared" si="30"/>
        <v>-17072729.833266128</v>
      </c>
      <c r="G68" s="35">
        <f t="shared" si="22"/>
        <v>4056249.8784173457</v>
      </c>
      <c r="H68" s="35">
        <f t="shared" si="23"/>
        <v>0</v>
      </c>
      <c r="I68" s="35">
        <f t="shared" si="24"/>
        <v>0</v>
      </c>
      <c r="J68" s="35">
        <f t="shared" si="25"/>
        <v>-341454.59666532255</v>
      </c>
      <c r="K68" s="35">
        <f t="shared" si="26"/>
        <v>3714795.2817520229</v>
      </c>
      <c r="L68" s="35">
        <f t="shared" si="27"/>
        <v>944817.18269202195</v>
      </c>
      <c r="M68" s="35">
        <f>IF(mtm=FALSE, SUM($G$8:G68), 0)</f>
        <v>0</v>
      </c>
      <c r="N68" s="35">
        <f t="shared" si="17"/>
        <v>0</v>
      </c>
      <c r="O68" s="35">
        <f t="shared" si="18"/>
        <v>0</v>
      </c>
      <c r="P68" s="35">
        <f t="shared" si="19"/>
        <v>0</v>
      </c>
      <c r="Q68" s="35">
        <f t="shared" si="20"/>
        <v>-341454.59666532255</v>
      </c>
      <c r="R68" s="35">
        <f t="shared" si="11"/>
        <v>944817.18269202195</v>
      </c>
      <c r="S68" s="35">
        <f t="shared" si="21"/>
        <v>-1286271.7793573444</v>
      </c>
      <c r="T68" s="35">
        <f t="shared" si="12"/>
        <v>43643675.100327373</v>
      </c>
      <c r="U68" s="35">
        <f t="shared" si="13"/>
        <v>1000000</v>
      </c>
      <c r="V68" s="35">
        <f t="shared" si="28"/>
        <v>13215184.281101486</v>
      </c>
      <c r="W68" s="35">
        <f t="shared" si="14"/>
        <v>30428490.819225885</v>
      </c>
    </row>
    <row r="69" spans="3:23" x14ac:dyDescent="0.25">
      <c r="C69" s="34" t="str">
        <f t="shared" si="31"/>
        <v/>
      </c>
      <c r="D69" s="35">
        <f t="shared" si="29"/>
        <v>62002676.712950848</v>
      </c>
      <c r="E69" s="35">
        <f t="shared" si="16"/>
        <v>0</v>
      </c>
      <c r="F69" s="35">
        <f t="shared" si="30"/>
        <v>-18359001.612623472</v>
      </c>
      <c r="G69" s="35">
        <f t="shared" si="22"/>
        <v>4340187.3699065596</v>
      </c>
      <c r="H69" s="35">
        <f t="shared" si="23"/>
        <v>0</v>
      </c>
      <c r="I69" s="35">
        <f t="shared" si="24"/>
        <v>0</v>
      </c>
      <c r="J69" s="35">
        <f t="shared" si="25"/>
        <v>-367180.03225246945</v>
      </c>
      <c r="K69" s="35">
        <f t="shared" si="26"/>
        <v>3973007.33765409</v>
      </c>
      <c r="L69" s="35">
        <f t="shared" si="27"/>
        <v>1011435.8931147553</v>
      </c>
      <c r="M69" s="35">
        <f>IF(mtm=FALSE, SUM($G$8:G69), 0)</f>
        <v>0</v>
      </c>
      <c r="N69" s="35">
        <f t="shared" si="17"/>
        <v>0</v>
      </c>
      <c r="O69" s="35">
        <f t="shared" si="18"/>
        <v>0</v>
      </c>
      <c r="P69" s="35">
        <f t="shared" si="19"/>
        <v>0</v>
      </c>
      <c r="Q69" s="35">
        <f t="shared" si="20"/>
        <v>-367180.03225246945</v>
      </c>
      <c r="R69" s="35">
        <f t="shared" si="11"/>
        <v>1011435.8931147553</v>
      </c>
      <c r="S69" s="35">
        <f t="shared" si="21"/>
        <v>-1378615.9253672247</v>
      </c>
      <c r="T69" s="35">
        <f t="shared" si="12"/>
        <v>46605246.544866711</v>
      </c>
      <c r="U69" s="35">
        <f t="shared" si="13"/>
        <v>1000000</v>
      </c>
      <c r="V69" s="35">
        <f t="shared" si="28"/>
        <v>14133271.42890868</v>
      </c>
      <c r="W69" s="35">
        <f t="shared" si="14"/>
        <v>32471975.115958031</v>
      </c>
    </row>
    <row r="70" spans="3:23" x14ac:dyDescent="0.25">
      <c r="C70" s="34" t="str">
        <f t="shared" si="31"/>
        <v/>
      </c>
      <c r="D70" s="35">
        <f t="shared" si="29"/>
        <v>66342864.082857408</v>
      </c>
      <c r="E70" s="35">
        <f t="shared" si="16"/>
        <v>0</v>
      </c>
      <c r="F70" s="35">
        <f t="shared" si="30"/>
        <v>-19737617.537990697</v>
      </c>
      <c r="G70" s="35">
        <f t="shared" si="22"/>
        <v>4644000.4858000185</v>
      </c>
      <c r="H70" s="35">
        <f t="shared" si="23"/>
        <v>0</v>
      </c>
      <c r="I70" s="35">
        <f t="shared" si="24"/>
        <v>0</v>
      </c>
      <c r="J70" s="35">
        <f t="shared" si="25"/>
        <v>-394752.35075981397</v>
      </c>
      <c r="K70" s="35">
        <f t="shared" si="26"/>
        <v>4249248.135040205</v>
      </c>
      <c r="L70" s="35">
        <f t="shared" si="27"/>
        <v>1082706.018840373</v>
      </c>
      <c r="M70" s="35">
        <f>IF(mtm=FALSE, SUM($G$8:G70), 0)</f>
        <v>0</v>
      </c>
      <c r="N70" s="35">
        <f t="shared" si="17"/>
        <v>0</v>
      </c>
      <c r="O70" s="35">
        <f t="shared" si="18"/>
        <v>0</v>
      </c>
      <c r="P70" s="35">
        <f t="shared" si="19"/>
        <v>0</v>
      </c>
      <c r="Q70" s="35">
        <f t="shared" si="20"/>
        <v>-394752.35075981397</v>
      </c>
      <c r="R70" s="35">
        <f t="shared" si="11"/>
        <v>1082706.018840373</v>
      </c>
      <c r="S70" s="35">
        <f t="shared" si="21"/>
        <v>-1477458.3696001871</v>
      </c>
      <c r="T70" s="35">
        <f t="shared" si="12"/>
        <v>49771788.661066547</v>
      </c>
      <c r="U70" s="35">
        <f t="shared" si="13"/>
        <v>1000000</v>
      </c>
      <c r="V70" s="35">
        <f t="shared" si="28"/>
        <v>15114899.484930629</v>
      </c>
      <c r="W70" s="35">
        <f t="shared" si="14"/>
        <v>34656889.17613592</v>
      </c>
    </row>
    <row r="71" spans="3:23" x14ac:dyDescent="0.25">
      <c r="C71" s="34" t="str">
        <f t="shared" si="31"/>
        <v/>
      </c>
      <c r="D71" s="35">
        <f t="shared" si="29"/>
        <v>70986864.568657428</v>
      </c>
      <c r="E71" s="35">
        <f t="shared" si="16"/>
        <v>0</v>
      </c>
      <c r="F71" s="35">
        <f t="shared" si="30"/>
        <v>-21215075.907590885</v>
      </c>
      <c r="G71" s="35">
        <f t="shared" si="22"/>
        <v>4969080.5198060209</v>
      </c>
      <c r="H71" s="35">
        <f t="shared" si="23"/>
        <v>0</v>
      </c>
      <c r="I71" s="35">
        <f t="shared" si="24"/>
        <v>0</v>
      </c>
      <c r="J71" s="35">
        <f t="shared" si="25"/>
        <v>-424301.51815181773</v>
      </c>
      <c r="K71" s="35">
        <f t="shared" si="26"/>
        <v>4544779.001654203</v>
      </c>
      <c r="L71" s="35">
        <f t="shared" si="27"/>
        <v>1158952.9824267845</v>
      </c>
      <c r="M71" s="35">
        <f>IF(mtm=FALSE, SUM($G$8:G71), 0)</f>
        <v>0</v>
      </c>
      <c r="N71" s="35">
        <f t="shared" si="17"/>
        <v>0</v>
      </c>
      <c r="O71" s="35">
        <f t="shared" si="18"/>
        <v>0</v>
      </c>
      <c r="P71" s="35">
        <f t="shared" si="19"/>
        <v>0</v>
      </c>
      <c r="Q71" s="35">
        <f t="shared" si="20"/>
        <v>-424301.51815181773</v>
      </c>
      <c r="R71" s="35">
        <f t="shared" si="11"/>
        <v>1158952.9824267845</v>
      </c>
      <c r="S71" s="35">
        <f t="shared" si="21"/>
        <v>-1583254.5005786023</v>
      </c>
      <c r="T71" s="35">
        <f t="shared" si="12"/>
        <v>53157614.680293962</v>
      </c>
      <c r="U71" s="35">
        <f t="shared" si="13"/>
        <v>1000000</v>
      </c>
      <c r="V71" s="35">
        <f t="shared" si="28"/>
        <v>16164505.550891127</v>
      </c>
      <c r="W71" s="35">
        <f t="shared" si="14"/>
        <v>36993109.129402831</v>
      </c>
    </row>
    <row r="72" spans="3:23" x14ac:dyDescent="0.25">
      <c r="C72" s="34" t="str">
        <f t="shared" si="31"/>
        <v/>
      </c>
      <c r="D72" s="35">
        <f t="shared" si="29"/>
        <v>75955945.088463455</v>
      </c>
      <c r="E72" s="35">
        <f t="shared" si="16"/>
        <v>0</v>
      </c>
      <c r="F72" s="35">
        <f t="shared" si="30"/>
        <v>-22798330.408169486</v>
      </c>
      <c r="G72" s="35">
        <f t="shared" ref="G72:G103" si="32">D72*growth_rate</f>
        <v>5316916.1561924424</v>
      </c>
      <c r="H72" s="35">
        <f t="shared" ref="H72:H103" si="33">D72*dividend</f>
        <v>0</v>
      </c>
      <c r="I72" s="35">
        <f t="shared" ref="I72:I103" si="34">E72/bonds_par*coupon</f>
        <v>0</v>
      </c>
      <c r="J72" s="35">
        <f t="shared" ref="J72:J103" si="35">cash_yield*F72</f>
        <v>-455966.60816338973</v>
      </c>
      <c r="K72" s="35">
        <f t="shared" ref="K72:K103" si="36">IF(mtm=TRUE, SUM(G72:J72), H72+I72+J72)</f>
        <v>4860949.548029053</v>
      </c>
      <c r="L72" s="35">
        <f t="shared" ref="L72:L103" si="37">IF(K72&lt;vpb_cutover,K72* vpb_1, (K72-vpb_cutover)*vpb_2+vpb_cutover*vpb_1)</f>
        <v>1240524.9833914957</v>
      </c>
      <c r="M72" s="35">
        <f>IF(mtm=FALSE, SUM($G$8:G72), 0)</f>
        <v>0</v>
      </c>
      <c r="N72" s="35">
        <f t="shared" si="17"/>
        <v>0</v>
      </c>
      <c r="O72" s="35">
        <f t="shared" si="18"/>
        <v>0</v>
      </c>
      <c r="P72" s="35">
        <f t="shared" si="19"/>
        <v>0</v>
      </c>
      <c r="Q72" s="35">
        <f t="shared" si="20"/>
        <v>-455966.60816338973</v>
      </c>
      <c r="R72" s="35">
        <f t="shared" si="11"/>
        <v>1240524.9833914957</v>
      </c>
      <c r="S72" s="35">
        <f t="shared" si="21"/>
        <v>-1696491.5915548853</v>
      </c>
      <c r="T72" s="35">
        <f t="shared" si="12"/>
        <v>56778039.244931534</v>
      </c>
      <c r="U72" s="35">
        <f t="shared" si="13"/>
        <v>1000000</v>
      </c>
      <c r="V72" s="35">
        <f t="shared" ref="V72:V103" si="38">IF((T72-U72)&gt;box2_cutover, (T72-U72-box2_cutover)*box2_2+box2_1*box2_cutover, MAX((T72-U72)*box2_1, 0))</f>
        <v>17286837.165928774</v>
      </c>
      <c r="W72" s="35">
        <f t="shared" si="14"/>
        <v>39491202.07900276</v>
      </c>
    </row>
    <row r="73" spans="3:23" x14ac:dyDescent="0.25">
      <c r="C73" s="34" t="str">
        <f t="shared" si="31"/>
        <v/>
      </c>
      <c r="D73" s="35">
        <f t="shared" ref="D73:D109" si="39">D72+G72+IF(S72&gt;0, S72*reinvestment_mix, 0)</f>
        <v>81272861.244655892</v>
      </c>
      <c r="E73" s="35">
        <f t="shared" si="16"/>
        <v>0</v>
      </c>
      <c r="F73" s="35">
        <f t="shared" ref="F73:F109" si="40">F72+IF(S72&gt;0, S72*(1-reinvestment_mix), S72)</f>
        <v>-24494821.999724369</v>
      </c>
      <c r="G73" s="35">
        <f t="shared" si="32"/>
        <v>5689100.2871259134</v>
      </c>
      <c r="H73" s="35">
        <f t="shared" si="33"/>
        <v>0</v>
      </c>
      <c r="I73" s="35">
        <f t="shared" si="34"/>
        <v>0</v>
      </c>
      <c r="J73" s="35">
        <f t="shared" si="35"/>
        <v>-489896.43999448739</v>
      </c>
      <c r="K73" s="35">
        <f t="shared" si="36"/>
        <v>5199203.8471314264</v>
      </c>
      <c r="L73" s="35">
        <f t="shared" si="37"/>
        <v>1327794.5925599081</v>
      </c>
      <c r="M73" s="35">
        <f>IF(mtm=FALSE, SUM($G$8:G73), 0)</f>
        <v>0</v>
      </c>
      <c r="N73" s="35">
        <f t="shared" si="17"/>
        <v>0</v>
      </c>
      <c r="O73" s="35">
        <f t="shared" si="18"/>
        <v>0</v>
      </c>
      <c r="P73" s="35">
        <f t="shared" si="19"/>
        <v>0</v>
      </c>
      <c r="Q73" s="35">
        <f t="shared" si="20"/>
        <v>-489896.43999448739</v>
      </c>
      <c r="R73" s="35">
        <f t="shared" ref="R73:R109" si="41">L73</f>
        <v>1327794.5925599081</v>
      </c>
      <c r="S73" s="35">
        <f t="shared" si="21"/>
        <v>-1817691.0325543955</v>
      </c>
      <c r="T73" s="35">
        <f t="shared" ref="T73:T109" si="42">SUM(D73:J73)-L73-N73</f>
        <v>60649448.499503039</v>
      </c>
      <c r="U73" s="35">
        <f t="shared" ref="U73:U109" si="43">SUM($D$8:$F$8)</f>
        <v>1000000</v>
      </c>
      <c r="V73" s="35">
        <f t="shared" si="38"/>
        <v>18486974.034845941</v>
      </c>
      <c r="W73" s="35">
        <f t="shared" ref="W73:W109" si="44">T73-V73</f>
        <v>42162474.464657098</v>
      </c>
    </row>
    <row r="74" spans="3:23" x14ac:dyDescent="0.25">
      <c r="C74" s="34" t="str">
        <f t="shared" ref="C74:C109" si="45">IF(ROW(C73)-ROW($C$8) &lt;= hoelang, DATE(YEAR(C73)+1,1,1), "")</f>
        <v/>
      </c>
      <c r="D74" s="35">
        <f t="shared" si="39"/>
        <v>86961961.531781808</v>
      </c>
      <c r="E74" s="35">
        <f t="shared" ref="E74:E109" si="46">E73</f>
        <v>0</v>
      </c>
      <c r="F74" s="35">
        <f t="shared" si="40"/>
        <v>-26312513.032278765</v>
      </c>
      <c r="G74" s="35">
        <f t="shared" si="32"/>
        <v>6087337.3072247272</v>
      </c>
      <c r="H74" s="35">
        <f t="shared" si="33"/>
        <v>0</v>
      </c>
      <c r="I74" s="35">
        <f t="shared" si="34"/>
        <v>0</v>
      </c>
      <c r="J74" s="35">
        <f t="shared" si="35"/>
        <v>-526250.26064557536</v>
      </c>
      <c r="K74" s="35">
        <f t="shared" si="36"/>
        <v>5561087.0465791523</v>
      </c>
      <c r="L74" s="35">
        <f t="shared" si="37"/>
        <v>1421160.4580174214</v>
      </c>
      <c r="M74" s="35">
        <f>IF(mtm=FALSE, SUM($G$8:G74), 0)</f>
        <v>0</v>
      </c>
      <c r="N74" s="35">
        <f t="shared" ref="N74:N109" si="47">vpb_2*M74</f>
        <v>0</v>
      </c>
      <c r="O74" s="35">
        <f t="shared" ref="O74:O109" si="48">H74</f>
        <v>0</v>
      </c>
      <c r="P74" s="35">
        <f t="shared" ref="P74:P109" si="49">I74</f>
        <v>0</v>
      </c>
      <c r="Q74" s="35">
        <f t="shared" ref="Q74:Q109" si="50">J74</f>
        <v>-526250.26064557536</v>
      </c>
      <c r="R74" s="35">
        <f t="shared" si="41"/>
        <v>1421160.4580174214</v>
      </c>
      <c r="S74" s="35">
        <f t="shared" ref="S74:S109" si="51">O74+P74+Q74-R74</f>
        <v>-1947410.7186629968</v>
      </c>
      <c r="T74" s="35">
        <f t="shared" si="42"/>
        <v>64789375.088064775</v>
      </c>
      <c r="U74" s="35">
        <f t="shared" si="43"/>
        <v>1000000</v>
      </c>
      <c r="V74" s="35">
        <f t="shared" si="38"/>
        <v>19770351.277300078</v>
      </c>
      <c r="W74" s="35">
        <f t="shared" si="44"/>
        <v>45019023.8107647</v>
      </c>
    </row>
    <row r="75" spans="3:23" x14ac:dyDescent="0.25">
      <c r="C75" s="34" t="str">
        <f t="shared" si="45"/>
        <v/>
      </c>
      <c r="D75" s="35">
        <f t="shared" si="39"/>
        <v>93049298.839006528</v>
      </c>
      <c r="E75" s="35">
        <f t="shared" si="46"/>
        <v>0</v>
      </c>
      <c r="F75" s="35">
        <f t="shared" si="40"/>
        <v>-28259923.750941761</v>
      </c>
      <c r="G75" s="35">
        <f t="shared" si="32"/>
        <v>6513450.9187304573</v>
      </c>
      <c r="H75" s="35">
        <f t="shared" si="33"/>
        <v>0</v>
      </c>
      <c r="I75" s="35">
        <f t="shared" si="34"/>
        <v>0</v>
      </c>
      <c r="J75" s="35">
        <f t="shared" si="35"/>
        <v>-565198.47501883528</v>
      </c>
      <c r="K75" s="35">
        <f t="shared" si="36"/>
        <v>5948252.4437116217</v>
      </c>
      <c r="L75" s="35">
        <f t="shared" si="37"/>
        <v>1521049.1304775984</v>
      </c>
      <c r="M75" s="35">
        <f>IF(mtm=FALSE, SUM($G$8:G75), 0)</f>
        <v>0</v>
      </c>
      <c r="N75" s="35">
        <f t="shared" si="47"/>
        <v>0</v>
      </c>
      <c r="O75" s="35">
        <f t="shared" si="48"/>
        <v>0</v>
      </c>
      <c r="P75" s="35">
        <f t="shared" si="49"/>
        <v>0</v>
      </c>
      <c r="Q75" s="35">
        <f t="shared" si="50"/>
        <v>-565198.47501883528</v>
      </c>
      <c r="R75" s="35">
        <f t="shared" si="41"/>
        <v>1521049.1304775984</v>
      </c>
      <c r="S75" s="35">
        <f t="shared" si="51"/>
        <v>-2086247.6054964336</v>
      </c>
      <c r="T75" s="35">
        <f t="shared" si="42"/>
        <v>69216578.401298806</v>
      </c>
      <c r="U75" s="35">
        <f t="shared" si="43"/>
        <v>1000000</v>
      </c>
      <c r="V75" s="35">
        <f t="shared" si="38"/>
        <v>21142784.304402631</v>
      </c>
      <c r="W75" s="35">
        <f t="shared" si="44"/>
        <v>48073794.096896172</v>
      </c>
    </row>
    <row r="76" spans="3:23" x14ac:dyDescent="0.25">
      <c r="C76" s="34" t="str">
        <f t="shared" si="45"/>
        <v/>
      </c>
      <c r="D76" s="35">
        <f t="shared" si="39"/>
        <v>99562749.757736981</v>
      </c>
      <c r="E76" s="35">
        <f t="shared" si="46"/>
        <v>0</v>
      </c>
      <c r="F76" s="35">
        <f t="shared" si="40"/>
        <v>-30346171.356438193</v>
      </c>
      <c r="G76" s="35">
        <f t="shared" si="32"/>
        <v>6969392.4830415891</v>
      </c>
      <c r="H76" s="35">
        <f t="shared" si="33"/>
        <v>0</v>
      </c>
      <c r="I76" s="35">
        <f t="shared" si="34"/>
        <v>0</v>
      </c>
      <c r="J76" s="35">
        <f t="shared" si="35"/>
        <v>-606923.42712876387</v>
      </c>
      <c r="K76" s="35">
        <f t="shared" si="36"/>
        <v>6362469.0559128253</v>
      </c>
      <c r="L76" s="35">
        <f t="shared" si="37"/>
        <v>1627917.016425509</v>
      </c>
      <c r="M76" s="35">
        <f>IF(mtm=FALSE, SUM($G$8:G76), 0)</f>
        <v>0</v>
      </c>
      <c r="N76" s="35">
        <f t="shared" si="47"/>
        <v>0</v>
      </c>
      <c r="O76" s="35">
        <f t="shared" si="48"/>
        <v>0</v>
      </c>
      <c r="P76" s="35">
        <f t="shared" si="49"/>
        <v>0</v>
      </c>
      <c r="Q76" s="35">
        <f t="shared" si="50"/>
        <v>-606923.42712876387</v>
      </c>
      <c r="R76" s="35">
        <f t="shared" si="41"/>
        <v>1627917.016425509</v>
      </c>
      <c r="S76" s="35">
        <f t="shared" si="51"/>
        <v>-2234840.4435542729</v>
      </c>
      <c r="T76" s="35">
        <f t="shared" si="42"/>
        <v>73951130.440786108</v>
      </c>
      <c r="U76" s="35">
        <f t="shared" si="43"/>
        <v>1000000</v>
      </c>
      <c r="V76" s="35">
        <f t="shared" si="38"/>
        <v>22610495.436643694</v>
      </c>
      <c r="W76" s="35">
        <f t="shared" si="44"/>
        <v>51340635.004142419</v>
      </c>
    </row>
    <row r="77" spans="3:23" x14ac:dyDescent="0.25">
      <c r="C77" s="34" t="str">
        <f t="shared" si="45"/>
        <v/>
      </c>
      <c r="D77" s="35">
        <f t="shared" si="39"/>
        <v>106532142.24077857</v>
      </c>
      <c r="E77" s="35">
        <f t="shared" si="46"/>
        <v>0</v>
      </c>
      <c r="F77" s="35">
        <f t="shared" si="40"/>
        <v>-32581011.799992464</v>
      </c>
      <c r="G77" s="35">
        <f t="shared" si="32"/>
        <v>7457249.9568544999</v>
      </c>
      <c r="H77" s="35">
        <f t="shared" si="33"/>
        <v>0</v>
      </c>
      <c r="I77" s="35">
        <f t="shared" si="34"/>
        <v>0</v>
      </c>
      <c r="J77" s="35">
        <f t="shared" si="35"/>
        <v>-651620.23599984928</v>
      </c>
      <c r="K77" s="35">
        <f t="shared" si="36"/>
        <v>6805629.7208546503</v>
      </c>
      <c r="L77" s="35">
        <f t="shared" si="37"/>
        <v>1742252.4679804998</v>
      </c>
      <c r="M77" s="35">
        <f>IF(mtm=FALSE, SUM($G$8:G77), 0)</f>
        <v>0</v>
      </c>
      <c r="N77" s="35">
        <f t="shared" si="47"/>
        <v>0</v>
      </c>
      <c r="O77" s="35">
        <f t="shared" si="48"/>
        <v>0</v>
      </c>
      <c r="P77" s="35">
        <f t="shared" si="49"/>
        <v>0</v>
      </c>
      <c r="Q77" s="35">
        <f t="shared" si="50"/>
        <v>-651620.23599984928</v>
      </c>
      <c r="R77" s="35">
        <f t="shared" si="41"/>
        <v>1742252.4679804998</v>
      </c>
      <c r="S77" s="35">
        <f t="shared" si="51"/>
        <v>-2393872.703980349</v>
      </c>
      <c r="T77" s="35">
        <f t="shared" si="42"/>
        <v>79014507.693660229</v>
      </c>
      <c r="U77" s="35">
        <f t="shared" si="43"/>
        <v>1000000</v>
      </c>
      <c r="V77" s="35">
        <f t="shared" si="38"/>
        <v>24180142.385034669</v>
      </c>
      <c r="W77" s="35">
        <f t="shared" si="44"/>
        <v>54834365.308625564</v>
      </c>
    </row>
    <row r="78" spans="3:23" x14ac:dyDescent="0.25">
      <c r="C78" s="34" t="str">
        <f t="shared" si="45"/>
        <v/>
      </c>
      <c r="D78" s="35">
        <f t="shared" si="39"/>
        <v>113989392.19763306</v>
      </c>
      <c r="E78" s="35">
        <f t="shared" si="46"/>
        <v>0</v>
      </c>
      <c r="F78" s="35">
        <f t="shared" si="40"/>
        <v>-34974884.503972813</v>
      </c>
      <c r="G78" s="35">
        <f t="shared" si="32"/>
        <v>7979257.4538343148</v>
      </c>
      <c r="H78" s="35">
        <f t="shared" si="33"/>
        <v>0</v>
      </c>
      <c r="I78" s="35">
        <f t="shared" si="34"/>
        <v>0</v>
      </c>
      <c r="J78" s="35">
        <f t="shared" si="35"/>
        <v>-699497.69007945631</v>
      </c>
      <c r="K78" s="35">
        <f t="shared" si="36"/>
        <v>7279759.7637548586</v>
      </c>
      <c r="L78" s="35">
        <f t="shared" si="37"/>
        <v>1864578.0190487537</v>
      </c>
      <c r="M78" s="35">
        <f>IF(mtm=FALSE, SUM($G$8:G78), 0)</f>
        <v>0</v>
      </c>
      <c r="N78" s="35">
        <f t="shared" si="47"/>
        <v>0</v>
      </c>
      <c r="O78" s="35">
        <f t="shared" si="48"/>
        <v>0</v>
      </c>
      <c r="P78" s="35">
        <f t="shared" si="49"/>
        <v>0</v>
      </c>
      <c r="Q78" s="35">
        <f t="shared" si="50"/>
        <v>-699497.69007945631</v>
      </c>
      <c r="R78" s="35">
        <f t="shared" si="41"/>
        <v>1864578.0190487537</v>
      </c>
      <c r="S78" s="35">
        <f t="shared" si="51"/>
        <v>-2564075.7091282099</v>
      </c>
      <c r="T78" s="35">
        <f t="shared" si="42"/>
        <v>84429689.438366354</v>
      </c>
      <c r="U78" s="35">
        <f t="shared" si="43"/>
        <v>1000000</v>
      </c>
      <c r="V78" s="35">
        <f t="shared" si="38"/>
        <v>25858848.725893568</v>
      </c>
      <c r="W78" s="35">
        <f t="shared" si="44"/>
        <v>58570840.712472782</v>
      </c>
    </row>
    <row r="79" spans="3:23" x14ac:dyDescent="0.25">
      <c r="C79" s="34" t="str">
        <f t="shared" si="45"/>
        <v/>
      </c>
      <c r="D79" s="35">
        <f t="shared" si="39"/>
        <v>121968649.65146737</v>
      </c>
      <c r="E79" s="35">
        <f t="shared" si="46"/>
        <v>0</v>
      </c>
      <c r="F79" s="35">
        <f t="shared" si="40"/>
        <v>-37538960.213101022</v>
      </c>
      <c r="G79" s="35">
        <f t="shared" si="32"/>
        <v>8537805.4756027162</v>
      </c>
      <c r="H79" s="35">
        <f t="shared" si="33"/>
        <v>0</v>
      </c>
      <c r="I79" s="35">
        <f t="shared" si="34"/>
        <v>0</v>
      </c>
      <c r="J79" s="35">
        <f t="shared" si="35"/>
        <v>-750779.20426202042</v>
      </c>
      <c r="K79" s="35">
        <f t="shared" si="36"/>
        <v>7787026.2713406961</v>
      </c>
      <c r="L79" s="35">
        <f t="shared" si="37"/>
        <v>1995452.7780058996</v>
      </c>
      <c r="M79" s="35">
        <f>IF(mtm=FALSE, SUM($G$8:G79), 0)</f>
        <v>0</v>
      </c>
      <c r="N79" s="35">
        <f t="shared" si="47"/>
        <v>0</v>
      </c>
      <c r="O79" s="35">
        <f t="shared" si="48"/>
        <v>0</v>
      </c>
      <c r="P79" s="35">
        <f t="shared" si="49"/>
        <v>0</v>
      </c>
      <c r="Q79" s="35">
        <f t="shared" si="50"/>
        <v>-750779.20426202042</v>
      </c>
      <c r="R79" s="35">
        <f t="shared" si="41"/>
        <v>1995452.7780058996</v>
      </c>
      <c r="S79" s="35">
        <f t="shared" si="51"/>
        <v>-2746231.9822679199</v>
      </c>
      <c r="T79" s="35">
        <f t="shared" si="42"/>
        <v>90221262.931701154</v>
      </c>
      <c r="U79" s="35">
        <f t="shared" si="43"/>
        <v>1000000</v>
      </c>
      <c r="V79" s="35">
        <f t="shared" si="38"/>
        <v>27654236.508827358</v>
      </c>
      <c r="W79" s="35">
        <f t="shared" si="44"/>
        <v>62567026.422873795</v>
      </c>
    </row>
    <row r="80" spans="3:23" x14ac:dyDescent="0.25">
      <c r="C80" s="34" t="str">
        <f t="shared" si="45"/>
        <v/>
      </c>
      <c r="D80" s="35">
        <f t="shared" si="39"/>
        <v>130506455.12707008</v>
      </c>
      <c r="E80" s="35">
        <f t="shared" si="46"/>
        <v>0</v>
      </c>
      <c r="F80" s="35">
        <f t="shared" si="40"/>
        <v>-40285192.195368946</v>
      </c>
      <c r="G80" s="35">
        <f t="shared" si="32"/>
        <v>9135451.8588949069</v>
      </c>
      <c r="H80" s="35">
        <f t="shared" si="33"/>
        <v>0</v>
      </c>
      <c r="I80" s="35">
        <f t="shared" si="34"/>
        <v>0</v>
      </c>
      <c r="J80" s="35">
        <f t="shared" si="35"/>
        <v>-805703.84390737896</v>
      </c>
      <c r="K80" s="35">
        <f t="shared" si="36"/>
        <v>8329748.0149875283</v>
      </c>
      <c r="L80" s="35">
        <f t="shared" si="37"/>
        <v>2135474.9878667826</v>
      </c>
      <c r="M80" s="35">
        <f>IF(mtm=FALSE, SUM($G$8:G80), 0)</f>
        <v>0</v>
      </c>
      <c r="N80" s="35">
        <f t="shared" si="47"/>
        <v>0</v>
      </c>
      <c r="O80" s="35">
        <f t="shared" si="48"/>
        <v>0</v>
      </c>
      <c r="P80" s="35">
        <f t="shared" si="49"/>
        <v>0</v>
      </c>
      <c r="Q80" s="35">
        <f t="shared" si="50"/>
        <v>-805703.84390737896</v>
      </c>
      <c r="R80" s="35">
        <f t="shared" si="41"/>
        <v>2135474.9878667826</v>
      </c>
      <c r="S80" s="35">
        <f t="shared" si="51"/>
        <v>-2941178.8317741617</v>
      </c>
      <c r="T80" s="35">
        <f t="shared" si="42"/>
        <v>96415535.958821863</v>
      </c>
      <c r="U80" s="35">
        <f t="shared" si="43"/>
        <v>1000000</v>
      </c>
      <c r="V80" s="35">
        <f t="shared" si="38"/>
        <v>29574461.147234779</v>
      </c>
      <c r="W80" s="35">
        <f t="shared" si="44"/>
        <v>66841074.81158708</v>
      </c>
    </row>
    <row r="81" spans="3:23" x14ac:dyDescent="0.25">
      <c r="C81" s="34" t="str">
        <f t="shared" si="45"/>
        <v/>
      </c>
      <c r="D81" s="35">
        <f t="shared" si="39"/>
        <v>139641906.98596498</v>
      </c>
      <c r="E81" s="35">
        <f t="shared" si="46"/>
        <v>0</v>
      </c>
      <c r="F81" s="35">
        <f t="shared" si="40"/>
        <v>-43226371.027143106</v>
      </c>
      <c r="G81" s="35">
        <f t="shared" si="32"/>
        <v>9774933.4890175499</v>
      </c>
      <c r="H81" s="35">
        <f t="shared" si="33"/>
        <v>0</v>
      </c>
      <c r="I81" s="35">
        <f t="shared" si="34"/>
        <v>0</v>
      </c>
      <c r="J81" s="35">
        <f t="shared" si="35"/>
        <v>-864527.42054286215</v>
      </c>
      <c r="K81" s="35">
        <f t="shared" si="36"/>
        <v>8910406.0684746876</v>
      </c>
      <c r="L81" s="35">
        <f t="shared" si="37"/>
        <v>2285284.7656664695</v>
      </c>
      <c r="M81" s="35">
        <f>IF(mtm=FALSE, SUM($G$8:G81), 0)</f>
        <v>0</v>
      </c>
      <c r="N81" s="35">
        <f t="shared" si="47"/>
        <v>0</v>
      </c>
      <c r="O81" s="35">
        <f t="shared" si="48"/>
        <v>0</v>
      </c>
      <c r="P81" s="35">
        <f t="shared" si="49"/>
        <v>0</v>
      </c>
      <c r="Q81" s="35">
        <f t="shared" si="50"/>
        <v>-864527.42054286215</v>
      </c>
      <c r="R81" s="35">
        <f t="shared" si="41"/>
        <v>2285284.7656664695</v>
      </c>
      <c r="S81" s="35">
        <f t="shared" si="51"/>
        <v>-3149812.1862093317</v>
      </c>
      <c r="T81" s="35">
        <f t="shared" si="42"/>
        <v>103040657.26163009</v>
      </c>
      <c r="U81" s="35">
        <f t="shared" si="43"/>
        <v>1000000</v>
      </c>
      <c r="V81" s="35">
        <f t="shared" si="38"/>
        <v>31628248.751105327</v>
      </c>
      <c r="W81" s="35">
        <f t="shared" si="44"/>
        <v>71412408.510524765</v>
      </c>
    </row>
    <row r="82" spans="3:23" x14ac:dyDescent="0.25">
      <c r="C82" s="34" t="str">
        <f t="shared" si="45"/>
        <v/>
      </c>
      <c r="D82" s="35">
        <f t="shared" si="39"/>
        <v>149416840.47498253</v>
      </c>
      <c r="E82" s="35">
        <f t="shared" si="46"/>
        <v>0</v>
      </c>
      <c r="F82" s="35">
        <f t="shared" si="40"/>
        <v>-46376183.213352434</v>
      </c>
      <c r="G82" s="35">
        <f t="shared" si="32"/>
        <v>10459178.833248777</v>
      </c>
      <c r="H82" s="35">
        <f t="shared" si="33"/>
        <v>0</v>
      </c>
      <c r="I82" s="35">
        <f t="shared" si="34"/>
        <v>0</v>
      </c>
      <c r="J82" s="35">
        <f t="shared" si="35"/>
        <v>-927523.66426704871</v>
      </c>
      <c r="K82" s="35">
        <f t="shared" si="36"/>
        <v>9531655.1689817291</v>
      </c>
      <c r="L82" s="35">
        <f t="shared" si="37"/>
        <v>2445567.0335972863</v>
      </c>
      <c r="M82" s="35">
        <f>IF(mtm=FALSE, SUM($G$8:G82), 0)</f>
        <v>0</v>
      </c>
      <c r="N82" s="35">
        <f t="shared" si="47"/>
        <v>0</v>
      </c>
      <c r="O82" s="35">
        <f t="shared" si="48"/>
        <v>0</v>
      </c>
      <c r="P82" s="35">
        <f t="shared" si="49"/>
        <v>0</v>
      </c>
      <c r="Q82" s="35">
        <f t="shared" si="50"/>
        <v>-927523.66426704871</v>
      </c>
      <c r="R82" s="35">
        <f t="shared" si="41"/>
        <v>2445567.0335972863</v>
      </c>
      <c r="S82" s="35">
        <f t="shared" si="51"/>
        <v>-3373090.697864335</v>
      </c>
      <c r="T82" s="35">
        <f t="shared" si="42"/>
        <v>110126745.39701453</v>
      </c>
      <c r="U82" s="35">
        <f t="shared" si="43"/>
        <v>1000000</v>
      </c>
      <c r="V82" s="35">
        <f t="shared" si="38"/>
        <v>33824936.073074505</v>
      </c>
      <c r="W82" s="35">
        <f t="shared" si="44"/>
        <v>76301809.323940024</v>
      </c>
    </row>
    <row r="83" spans="3:23" x14ac:dyDescent="0.25">
      <c r="C83" s="34" t="str">
        <f t="shared" si="45"/>
        <v/>
      </c>
      <c r="D83" s="35">
        <f t="shared" si="39"/>
        <v>159876019.30823129</v>
      </c>
      <c r="E83" s="35">
        <f t="shared" si="46"/>
        <v>0</v>
      </c>
      <c r="F83" s="35">
        <f t="shared" si="40"/>
        <v>-49749273.911216766</v>
      </c>
      <c r="G83" s="35">
        <f t="shared" si="32"/>
        <v>11191321.351576192</v>
      </c>
      <c r="H83" s="35">
        <f t="shared" si="33"/>
        <v>0</v>
      </c>
      <c r="I83" s="35">
        <f t="shared" si="34"/>
        <v>0</v>
      </c>
      <c r="J83" s="35">
        <f t="shared" si="35"/>
        <v>-994985.47822433535</v>
      </c>
      <c r="K83" s="35">
        <f t="shared" si="36"/>
        <v>10196335.873351857</v>
      </c>
      <c r="L83" s="35">
        <f t="shared" si="37"/>
        <v>2617054.655324779</v>
      </c>
      <c r="M83" s="35">
        <f>IF(mtm=FALSE, SUM($G$8:G83), 0)</f>
        <v>0</v>
      </c>
      <c r="N83" s="35">
        <f t="shared" si="47"/>
        <v>0</v>
      </c>
      <c r="O83" s="35">
        <f t="shared" si="48"/>
        <v>0</v>
      </c>
      <c r="P83" s="35">
        <f t="shared" si="49"/>
        <v>0</v>
      </c>
      <c r="Q83" s="35">
        <f t="shared" si="50"/>
        <v>-994985.47822433535</v>
      </c>
      <c r="R83" s="35">
        <f t="shared" si="41"/>
        <v>2617054.655324779</v>
      </c>
      <c r="S83" s="35">
        <f t="shared" si="51"/>
        <v>-3612040.1335491142</v>
      </c>
      <c r="T83" s="35">
        <f t="shared" si="42"/>
        <v>117706026.61504161</v>
      </c>
      <c r="U83" s="35">
        <f t="shared" si="43"/>
        <v>1000000</v>
      </c>
      <c r="V83" s="35">
        <f t="shared" si="38"/>
        <v>36174513.250662901</v>
      </c>
      <c r="W83" s="35">
        <f t="shared" si="44"/>
        <v>81531513.364378721</v>
      </c>
    </row>
    <row r="84" spans="3:23" x14ac:dyDescent="0.25">
      <c r="C84" s="34" t="str">
        <f t="shared" si="45"/>
        <v/>
      </c>
      <c r="D84" s="35">
        <f t="shared" si="39"/>
        <v>171067340.65980747</v>
      </c>
      <c r="E84" s="35">
        <f t="shared" si="46"/>
        <v>0</v>
      </c>
      <c r="F84" s="35">
        <f t="shared" si="40"/>
        <v>-53361314.044765882</v>
      </c>
      <c r="G84" s="35">
        <f t="shared" si="32"/>
        <v>11974713.846186524</v>
      </c>
      <c r="H84" s="35">
        <f t="shared" si="33"/>
        <v>0</v>
      </c>
      <c r="I84" s="35">
        <f t="shared" si="34"/>
        <v>0</v>
      </c>
      <c r="J84" s="35">
        <f t="shared" si="35"/>
        <v>-1067226.2808953177</v>
      </c>
      <c r="K84" s="35">
        <f t="shared" si="36"/>
        <v>10907487.565291207</v>
      </c>
      <c r="L84" s="35">
        <f t="shared" si="37"/>
        <v>2800531.7918451317</v>
      </c>
      <c r="M84" s="35">
        <f>IF(mtm=FALSE, SUM($G$8:G84), 0)</f>
        <v>0</v>
      </c>
      <c r="N84" s="35">
        <f t="shared" si="47"/>
        <v>0</v>
      </c>
      <c r="O84" s="35">
        <f t="shared" si="48"/>
        <v>0</v>
      </c>
      <c r="P84" s="35">
        <f t="shared" si="49"/>
        <v>0</v>
      </c>
      <c r="Q84" s="35">
        <f t="shared" si="50"/>
        <v>-1067226.2808953177</v>
      </c>
      <c r="R84" s="35">
        <f t="shared" si="41"/>
        <v>2800531.7918451317</v>
      </c>
      <c r="S84" s="35">
        <f t="shared" si="51"/>
        <v>-3867758.0727404496</v>
      </c>
      <c r="T84" s="35">
        <f t="shared" si="42"/>
        <v>125812982.38848765</v>
      </c>
      <c r="U84" s="35">
        <f t="shared" si="43"/>
        <v>1000000</v>
      </c>
      <c r="V84" s="35">
        <f t="shared" si="38"/>
        <v>38687669.540431172</v>
      </c>
      <c r="W84" s="35">
        <f t="shared" si="44"/>
        <v>87125312.84805648</v>
      </c>
    </row>
    <row r="85" spans="3:23" x14ac:dyDescent="0.25">
      <c r="C85" s="34" t="str">
        <f t="shared" si="45"/>
        <v/>
      </c>
      <c r="D85" s="35">
        <f t="shared" si="39"/>
        <v>183042054.50599399</v>
      </c>
      <c r="E85" s="35">
        <f t="shared" si="46"/>
        <v>0</v>
      </c>
      <c r="F85" s="35">
        <f t="shared" si="40"/>
        <v>-57229072.117506333</v>
      </c>
      <c r="G85" s="35">
        <f t="shared" si="32"/>
        <v>12812943.815419581</v>
      </c>
      <c r="H85" s="35">
        <f t="shared" si="33"/>
        <v>0</v>
      </c>
      <c r="I85" s="35">
        <f t="shared" si="34"/>
        <v>0</v>
      </c>
      <c r="J85" s="35">
        <f t="shared" si="35"/>
        <v>-1144581.4423501266</v>
      </c>
      <c r="K85" s="35">
        <f t="shared" si="36"/>
        <v>11668362.373069454</v>
      </c>
      <c r="L85" s="35">
        <f t="shared" si="37"/>
        <v>2996837.4922519191</v>
      </c>
      <c r="M85" s="35">
        <f>IF(mtm=FALSE, SUM($G$8:G85), 0)</f>
        <v>0</v>
      </c>
      <c r="N85" s="35">
        <f t="shared" si="47"/>
        <v>0</v>
      </c>
      <c r="O85" s="35">
        <f t="shared" si="48"/>
        <v>0</v>
      </c>
      <c r="P85" s="35">
        <f t="shared" si="49"/>
        <v>0</v>
      </c>
      <c r="Q85" s="35">
        <f t="shared" si="50"/>
        <v>-1144581.4423501266</v>
      </c>
      <c r="R85" s="35">
        <f t="shared" si="41"/>
        <v>2996837.4922519191</v>
      </c>
      <c r="S85" s="35">
        <f t="shared" si="51"/>
        <v>-4141418.9346020455</v>
      </c>
      <c r="T85" s="35">
        <f t="shared" si="42"/>
        <v>134484507.2693052</v>
      </c>
      <c r="U85" s="35">
        <f t="shared" si="43"/>
        <v>1000000</v>
      </c>
      <c r="V85" s="35">
        <f t="shared" si="38"/>
        <v>41375842.253484614</v>
      </c>
      <c r="W85" s="35">
        <f t="shared" si="44"/>
        <v>93108665.015820593</v>
      </c>
    </row>
    <row r="86" spans="3:23" x14ac:dyDescent="0.25">
      <c r="C86" s="34" t="str">
        <f t="shared" si="45"/>
        <v/>
      </c>
      <c r="D86" s="35">
        <f t="shared" si="39"/>
        <v>195854998.32141358</v>
      </c>
      <c r="E86" s="35">
        <f t="shared" si="46"/>
        <v>0</v>
      </c>
      <c r="F86" s="35">
        <f t="shared" si="40"/>
        <v>-61370491.052108377</v>
      </c>
      <c r="G86" s="35">
        <f t="shared" si="32"/>
        <v>13709849.882498952</v>
      </c>
      <c r="H86" s="35">
        <f t="shared" si="33"/>
        <v>0</v>
      </c>
      <c r="I86" s="35">
        <f t="shared" si="34"/>
        <v>0</v>
      </c>
      <c r="J86" s="35">
        <f t="shared" si="35"/>
        <v>-1227409.8210421675</v>
      </c>
      <c r="K86" s="35">
        <f t="shared" si="36"/>
        <v>12482440.061456785</v>
      </c>
      <c r="L86" s="35">
        <f t="shared" si="37"/>
        <v>3206869.5358558507</v>
      </c>
      <c r="M86" s="35">
        <f>IF(mtm=FALSE, SUM($G$8:G86), 0)</f>
        <v>0</v>
      </c>
      <c r="N86" s="35">
        <f t="shared" si="47"/>
        <v>0</v>
      </c>
      <c r="O86" s="35">
        <f t="shared" si="48"/>
        <v>0</v>
      </c>
      <c r="P86" s="35">
        <f t="shared" si="49"/>
        <v>0</v>
      </c>
      <c r="Q86" s="35">
        <f t="shared" si="50"/>
        <v>-1227409.8210421675</v>
      </c>
      <c r="R86" s="35">
        <f t="shared" si="41"/>
        <v>3206869.5358558507</v>
      </c>
      <c r="S86" s="35">
        <f t="shared" si="51"/>
        <v>-4434279.3568980182</v>
      </c>
      <c r="T86" s="35">
        <f t="shared" si="42"/>
        <v>143760077.79490611</v>
      </c>
      <c r="U86" s="35">
        <f t="shared" si="43"/>
        <v>1000000</v>
      </c>
      <c r="V86" s="35">
        <f t="shared" si="38"/>
        <v>44251269.116420895</v>
      </c>
      <c r="W86" s="35">
        <f t="shared" si="44"/>
        <v>99508808.678485215</v>
      </c>
    </row>
    <row r="87" spans="3:23" x14ac:dyDescent="0.25">
      <c r="C87" s="34" t="str">
        <f t="shared" si="45"/>
        <v/>
      </c>
      <c r="D87" s="35">
        <f t="shared" si="39"/>
        <v>209564848.20391253</v>
      </c>
      <c r="E87" s="35">
        <f t="shared" si="46"/>
        <v>0</v>
      </c>
      <c r="F87" s="35">
        <f t="shared" si="40"/>
        <v>-65804770.409006394</v>
      </c>
      <c r="G87" s="35">
        <f t="shared" si="32"/>
        <v>14669539.374273878</v>
      </c>
      <c r="H87" s="35">
        <f t="shared" si="33"/>
        <v>0</v>
      </c>
      <c r="I87" s="35">
        <f t="shared" si="34"/>
        <v>0</v>
      </c>
      <c r="J87" s="35">
        <f t="shared" si="35"/>
        <v>-1316095.4081801279</v>
      </c>
      <c r="K87" s="35">
        <f t="shared" si="36"/>
        <v>13353443.966093749</v>
      </c>
      <c r="L87" s="35">
        <f t="shared" si="37"/>
        <v>3431588.5432521873</v>
      </c>
      <c r="M87" s="35">
        <f>IF(mtm=FALSE, SUM($G$8:G87), 0)</f>
        <v>0</v>
      </c>
      <c r="N87" s="35">
        <f t="shared" si="47"/>
        <v>0</v>
      </c>
      <c r="O87" s="35">
        <f t="shared" si="48"/>
        <v>0</v>
      </c>
      <c r="P87" s="35">
        <f t="shared" si="49"/>
        <v>0</v>
      </c>
      <c r="Q87" s="35">
        <f t="shared" si="50"/>
        <v>-1316095.4081801279</v>
      </c>
      <c r="R87" s="35">
        <f t="shared" si="41"/>
        <v>3431588.5432521873</v>
      </c>
      <c r="S87" s="35">
        <f t="shared" si="51"/>
        <v>-4747683.9514323156</v>
      </c>
      <c r="T87" s="35">
        <f t="shared" si="42"/>
        <v>153681933.21774769</v>
      </c>
      <c r="U87" s="35">
        <f t="shared" si="43"/>
        <v>1000000</v>
      </c>
      <c r="V87" s="35">
        <f t="shared" si="38"/>
        <v>47327044.29750178</v>
      </c>
      <c r="W87" s="35">
        <f t="shared" si="44"/>
        <v>106354888.92024592</v>
      </c>
    </row>
    <row r="88" spans="3:23" x14ac:dyDescent="0.25">
      <c r="C88" s="34" t="str">
        <f t="shared" si="45"/>
        <v/>
      </c>
      <c r="D88" s="35">
        <f t="shared" si="39"/>
        <v>224234387.57818639</v>
      </c>
      <c r="E88" s="35">
        <f t="shared" si="46"/>
        <v>0</v>
      </c>
      <c r="F88" s="35">
        <f t="shared" si="40"/>
        <v>-70552454.360438704</v>
      </c>
      <c r="G88" s="35">
        <f t="shared" si="32"/>
        <v>15696407.130473049</v>
      </c>
      <c r="H88" s="35">
        <f t="shared" si="33"/>
        <v>0</v>
      </c>
      <c r="I88" s="35">
        <f t="shared" si="34"/>
        <v>0</v>
      </c>
      <c r="J88" s="35">
        <f t="shared" si="35"/>
        <v>-1411049.0872087742</v>
      </c>
      <c r="K88" s="35">
        <f t="shared" si="36"/>
        <v>14285358.043264275</v>
      </c>
      <c r="L88" s="35">
        <f t="shared" si="37"/>
        <v>3672022.3751621833</v>
      </c>
      <c r="M88" s="35">
        <f>IF(mtm=FALSE, SUM($G$8:G88), 0)</f>
        <v>0</v>
      </c>
      <c r="N88" s="35">
        <f t="shared" si="47"/>
        <v>0</v>
      </c>
      <c r="O88" s="35">
        <f t="shared" si="48"/>
        <v>0</v>
      </c>
      <c r="P88" s="35">
        <f t="shared" si="49"/>
        <v>0</v>
      </c>
      <c r="Q88" s="35">
        <f t="shared" si="50"/>
        <v>-1411049.0872087742</v>
      </c>
      <c r="R88" s="35">
        <f t="shared" si="41"/>
        <v>3672022.3751621833</v>
      </c>
      <c r="S88" s="35">
        <f t="shared" si="51"/>
        <v>-5083071.4623709572</v>
      </c>
      <c r="T88" s="35">
        <f t="shared" si="42"/>
        <v>164295268.88584977</v>
      </c>
      <c r="U88" s="35">
        <f t="shared" si="43"/>
        <v>1000000</v>
      </c>
      <c r="V88" s="35">
        <f t="shared" si="38"/>
        <v>50617178.354613431</v>
      </c>
      <c r="W88" s="35">
        <f t="shared" si="44"/>
        <v>113678090.53123635</v>
      </c>
    </row>
    <row r="89" spans="3:23" x14ac:dyDescent="0.25">
      <c r="C89" s="34" t="str">
        <f t="shared" si="45"/>
        <v/>
      </c>
      <c r="D89" s="35">
        <f t="shared" si="39"/>
        <v>239930794.70865944</v>
      </c>
      <c r="E89" s="35">
        <f t="shared" si="46"/>
        <v>0</v>
      </c>
      <c r="F89" s="35">
        <f t="shared" si="40"/>
        <v>-75635525.822809666</v>
      </c>
      <c r="G89" s="35">
        <f t="shared" si="32"/>
        <v>16795155.629606161</v>
      </c>
      <c r="H89" s="35">
        <f t="shared" si="33"/>
        <v>0</v>
      </c>
      <c r="I89" s="35">
        <f t="shared" si="34"/>
        <v>0</v>
      </c>
      <c r="J89" s="35">
        <f t="shared" si="35"/>
        <v>-1512710.5164561933</v>
      </c>
      <c r="K89" s="35">
        <f t="shared" si="36"/>
        <v>15282445.113149967</v>
      </c>
      <c r="L89" s="35">
        <f t="shared" si="37"/>
        <v>3929270.8391926917</v>
      </c>
      <c r="M89" s="35">
        <f>IF(mtm=FALSE, SUM($G$8:G89), 0)</f>
        <v>0</v>
      </c>
      <c r="N89" s="35">
        <f t="shared" si="47"/>
        <v>0</v>
      </c>
      <c r="O89" s="35">
        <f t="shared" si="48"/>
        <v>0</v>
      </c>
      <c r="P89" s="35">
        <f t="shared" si="49"/>
        <v>0</v>
      </c>
      <c r="Q89" s="35">
        <f t="shared" si="50"/>
        <v>-1512710.5164561933</v>
      </c>
      <c r="R89" s="35">
        <f t="shared" si="41"/>
        <v>3929270.8391926917</v>
      </c>
      <c r="S89" s="35">
        <f t="shared" si="51"/>
        <v>-5441981.3556488845</v>
      </c>
      <c r="T89" s="35">
        <f t="shared" si="42"/>
        <v>175648443.15980706</v>
      </c>
      <c r="U89" s="35">
        <f t="shared" si="43"/>
        <v>1000000</v>
      </c>
      <c r="V89" s="35">
        <f t="shared" si="38"/>
        <v>54136662.37954019</v>
      </c>
      <c r="W89" s="35">
        <f t="shared" si="44"/>
        <v>121511780.78026687</v>
      </c>
    </row>
    <row r="90" spans="3:23" x14ac:dyDescent="0.25">
      <c r="C90" s="34" t="str">
        <f t="shared" si="45"/>
        <v/>
      </c>
      <c r="D90" s="35">
        <f t="shared" si="39"/>
        <v>256725950.3382656</v>
      </c>
      <c r="E90" s="35">
        <f t="shared" si="46"/>
        <v>0</v>
      </c>
      <c r="F90" s="35">
        <f t="shared" si="40"/>
        <v>-81077507.178458557</v>
      </c>
      <c r="G90" s="35">
        <f t="shared" si="32"/>
        <v>17970816.523678593</v>
      </c>
      <c r="H90" s="35">
        <f t="shared" si="33"/>
        <v>0</v>
      </c>
      <c r="I90" s="35">
        <f t="shared" si="34"/>
        <v>0</v>
      </c>
      <c r="J90" s="35">
        <f t="shared" si="35"/>
        <v>-1621550.1435691712</v>
      </c>
      <c r="K90" s="35">
        <f t="shared" si="36"/>
        <v>16349266.380109422</v>
      </c>
      <c r="L90" s="35">
        <f t="shared" si="37"/>
        <v>4204510.7260682303</v>
      </c>
      <c r="M90" s="35">
        <f>IF(mtm=FALSE, SUM($G$8:G90), 0)</f>
        <v>0</v>
      </c>
      <c r="N90" s="35">
        <f t="shared" si="47"/>
        <v>0</v>
      </c>
      <c r="O90" s="35">
        <f t="shared" si="48"/>
        <v>0</v>
      </c>
      <c r="P90" s="35">
        <f t="shared" si="49"/>
        <v>0</v>
      </c>
      <c r="Q90" s="35">
        <f t="shared" si="50"/>
        <v>-1621550.1435691712</v>
      </c>
      <c r="R90" s="35">
        <f t="shared" si="41"/>
        <v>4204510.7260682303</v>
      </c>
      <c r="S90" s="35">
        <f t="shared" si="51"/>
        <v>-5826060.8696374018</v>
      </c>
      <c r="T90" s="35">
        <f t="shared" si="42"/>
        <v>187793198.81384823</v>
      </c>
      <c r="U90" s="35">
        <f t="shared" si="43"/>
        <v>1000000</v>
      </c>
      <c r="V90" s="35">
        <f t="shared" si="38"/>
        <v>57901536.632292949</v>
      </c>
      <c r="W90" s="35">
        <f t="shared" si="44"/>
        <v>129891662.18155527</v>
      </c>
    </row>
    <row r="91" spans="3:23" x14ac:dyDescent="0.25">
      <c r="C91" s="34" t="str">
        <f t="shared" si="45"/>
        <v/>
      </c>
      <c r="D91" s="35">
        <f t="shared" si="39"/>
        <v>274696766.8619442</v>
      </c>
      <c r="E91" s="35">
        <f t="shared" si="46"/>
        <v>0</v>
      </c>
      <c r="F91" s="35">
        <f t="shared" si="40"/>
        <v>-86903568.048095956</v>
      </c>
      <c r="G91" s="35">
        <f t="shared" si="32"/>
        <v>19228773.680336095</v>
      </c>
      <c r="H91" s="35">
        <f t="shared" si="33"/>
        <v>0</v>
      </c>
      <c r="I91" s="35">
        <f t="shared" si="34"/>
        <v>0</v>
      </c>
      <c r="J91" s="35">
        <f t="shared" si="35"/>
        <v>-1738071.3609619192</v>
      </c>
      <c r="K91" s="35">
        <f t="shared" si="36"/>
        <v>17490702.319374178</v>
      </c>
      <c r="L91" s="35">
        <f t="shared" si="37"/>
        <v>4499001.1983985379</v>
      </c>
      <c r="M91" s="35">
        <f>IF(mtm=FALSE, SUM($G$8:G91), 0)</f>
        <v>0</v>
      </c>
      <c r="N91" s="35">
        <f t="shared" si="47"/>
        <v>0</v>
      </c>
      <c r="O91" s="35">
        <f t="shared" si="48"/>
        <v>0</v>
      </c>
      <c r="P91" s="35">
        <f t="shared" si="49"/>
        <v>0</v>
      </c>
      <c r="Q91" s="35">
        <f t="shared" si="50"/>
        <v>-1738071.3609619192</v>
      </c>
      <c r="R91" s="35">
        <f t="shared" si="41"/>
        <v>4499001.1983985379</v>
      </c>
      <c r="S91" s="35">
        <f t="shared" si="51"/>
        <v>-6237072.5593604576</v>
      </c>
      <c r="T91" s="35">
        <f t="shared" si="42"/>
        <v>200784899.9348239</v>
      </c>
      <c r="U91" s="35">
        <f t="shared" si="43"/>
        <v>1000000</v>
      </c>
      <c r="V91" s="35">
        <f t="shared" si="38"/>
        <v>61928963.979795411</v>
      </c>
      <c r="W91" s="35">
        <f t="shared" si="44"/>
        <v>138855935.95502847</v>
      </c>
    </row>
    <row r="92" spans="3:23" x14ac:dyDescent="0.25">
      <c r="C92" s="34" t="str">
        <f t="shared" si="45"/>
        <v/>
      </c>
      <c r="D92" s="35">
        <f t="shared" si="39"/>
        <v>293925540.54228032</v>
      </c>
      <c r="E92" s="35">
        <f t="shared" si="46"/>
        <v>0</v>
      </c>
      <c r="F92" s="35">
        <f t="shared" si="40"/>
        <v>-93140640.607456416</v>
      </c>
      <c r="G92" s="35">
        <f t="shared" si="32"/>
        <v>20574787.837959625</v>
      </c>
      <c r="H92" s="35">
        <f t="shared" si="33"/>
        <v>0</v>
      </c>
      <c r="I92" s="35">
        <f t="shared" si="34"/>
        <v>0</v>
      </c>
      <c r="J92" s="35">
        <f t="shared" si="35"/>
        <v>-1862812.8121491284</v>
      </c>
      <c r="K92" s="35">
        <f t="shared" si="36"/>
        <v>18711975.025810495</v>
      </c>
      <c r="L92" s="35">
        <f t="shared" si="37"/>
        <v>4814089.556659108</v>
      </c>
      <c r="M92" s="35">
        <f>IF(mtm=FALSE, SUM($G$8:G92), 0)</f>
        <v>0</v>
      </c>
      <c r="N92" s="35">
        <f t="shared" si="47"/>
        <v>0</v>
      </c>
      <c r="O92" s="35">
        <f t="shared" si="48"/>
        <v>0</v>
      </c>
      <c r="P92" s="35">
        <f t="shared" si="49"/>
        <v>0</v>
      </c>
      <c r="Q92" s="35">
        <f t="shared" si="50"/>
        <v>-1862812.8121491284</v>
      </c>
      <c r="R92" s="35">
        <f t="shared" si="41"/>
        <v>4814089.556659108</v>
      </c>
      <c r="S92" s="35">
        <f t="shared" si="51"/>
        <v>-6676902.368808236</v>
      </c>
      <c r="T92" s="35">
        <f t="shared" si="42"/>
        <v>214682785.40397528</v>
      </c>
      <c r="U92" s="35">
        <f t="shared" si="43"/>
        <v>1000000</v>
      </c>
      <c r="V92" s="35">
        <f t="shared" si="38"/>
        <v>66237308.475232333</v>
      </c>
      <c r="W92" s="35">
        <f t="shared" si="44"/>
        <v>148445476.92874295</v>
      </c>
    </row>
    <row r="93" spans="3:23" x14ac:dyDescent="0.25">
      <c r="C93" s="34" t="str">
        <f t="shared" si="45"/>
        <v/>
      </c>
      <c r="D93" s="35">
        <f t="shared" si="39"/>
        <v>314500328.38023996</v>
      </c>
      <c r="E93" s="35">
        <f t="shared" si="46"/>
        <v>0</v>
      </c>
      <c r="F93" s="35">
        <f t="shared" si="40"/>
        <v>-99817542.976264656</v>
      </c>
      <c r="G93" s="35">
        <f t="shared" si="32"/>
        <v>22015022.986616798</v>
      </c>
      <c r="H93" s="35">
        <f t="shared" si="33"/>
        <v>0</v>
      </c>
      <c r="I93" s="35">
        <f t="shared" si="34"/>
        <v>0</v>
      </c>
      <c r="J93" s="35">
        <f t="shared" si="35"/>
        <v>-1996350.8595252931</v>
      </c>
      <c r="K93" s="35">
        <f t="shared" si="36"/>
        <v>20018672.127091505</v>
      </c>
      <c r="L93" s="35">
        <f t="shared" si="37"/>
        <v>5151217.4087896086</v>
      </c>
      <c r="M93" s="35">
        <f>IF(mtm=FALSE, SUM($G$8:G93), 0)</f>
        <v>0</v>
      </c>
      <c r="N93" s="35">
        <f t="shared" si="47"/>
        <v>0</v>
      </c>
      <c r="O93" s="35">
        <f t="shared" si="48"/>
        <v>0</v>
      </c>
      <c r="P93" s="35">
        <f t="shared" si="49"/>
        <v>0</v>
      </c>
      <c r="Q93" s="35">
        <f t="shared" si="50"/>
        <v>-1996350.8595252931</v>
      </c>
      <c r="R93" s="35">
        <f t="shared" si="41"/>
        <v>5151217.4087896086</v>
      </c>
      <c r="S93" s="35">
        <f t="shared" si="51"/>
        <v>-7147568.2683149017</v>
      </c>
      <c r="T93" s="35">
        <f t="shared" si="42"/>
        <v>229550240.1222772</v>
      </c>
      <c r="U93" s="35">
        <f t="shared" si="43"/>
        <v>1000000</v>
      </c>
      <c r="V93" s="35">
        <f t="shared" si="38"/>
        <v>70846219.437905937</v>
      </c>
      <c r="W93" s="35">
        <f t="shared" si="44"/>
        <v>158704020.68437126</v>
      </c>
    </row>
    <row r="94" spans="3:23" x14ac:dyDescent="0.25">
      <c r="C94" s="34" t="str">
        <f t="shared" si="45"/>
        <v/>
      </c>
      <c r="D94" s="35">
        <f t="shared" si="39"/>
        <v>336515351.36685675</v>
      </c>
      <c r="E94" s="35">
        <f t="shared" si="46"/>
        <v>0</v>
      </c>
      <c r="F94" s="35">
        <f t="shared" si="40"/>
        <v>-106965111.24457955</v>
      </c>
      <c r="G94" s="35">
        <f t="shared" si="32"/>
        <v>23556074.595679976</v>
      </c>
      <c r="H94" s="35">
        <f t="shared" si="33"/>
        <v>0</v>
      </c>
      <c r="I94" s="35">
        <f t="shared" si="34"/>
        <v>0</v>
      </c>
      <c r="J94" s="35">
        <f t="shared" si="35"/>
        <v>-2139302.2248915909</v>
      </c>
      <c r="K94" s="35">
        <f t="shared" si="36"/>
        <v>21416772.370788384</v>
      </c>
      <c r="L94" s="35">
        <f t="shared" si="37"/>
        <v>5511927.2716634031</v>
      </c>
      <c r="M94" s="35">
        <f>IF(mtm=FALSE, SUM($G$8:G94), 0)</f>
        <v>0</v>
      </c>
      <c r="N94" s="35">
        <f t="shared" si="47"/>
        <v>0</v>
      </c>
      <c r="O94" s="35">
        <f t="shared" si="48"/>
        <v>0</v>
      </c>
      <c r="P94" s="35">
        <f t="shared" si="49"/>
        <v>0</v>
      </c>
      <c r="Q94" s="35">
        <f t="shared" si="50"/>
        <v>-2139302.2248915909</v>
      </c>
      <c r="R94" s="35">
        <f t="shared" si="41"/>
        <v>5511927.2716634031</v>
      </c>
      <c r="S94" s="35">
        <f t="shared" si="51"/>
        <v>-7651229.496554994</v>
      </c>
      <c r="T94" s="35">
        <f t="shared" si="42"/>
        <v>245455085.22140217</v>
      </c>
      <c r="U94" s="35">
        <f t="shared" si="43"/>
        <v>1000000</v>
      </c>
      <c r="V94" s="35">
        <f t="shared" si="38"/>
        <v>75776721.418634668</v>
      </c>
      <c r="W94" s="35">
        <f t="shared" si="44"/>
        <v>169678363.80276752</v>
      </c>
    </row>
    <row r="95" spans="3:23" x14ac:dyDescent="0.25">
      <c r="C95" s="34" t="str">
        <f t="shared" si="45"/>
        <v/>
      </c>
      <c r="D95" s="35">
        <f t="shared" si="39"/>
        <v>360071425.96253675</v>
      </c>
      <c r="E95" s="35">
        <f t="shared" si="46"/>
        <v>0</v>
      </c>
      <c r="F95" s="35">
        <f t="shared" si="40"/>
        <v>-114616340.74113455</v>
      </c>
      <c r="G95" s="35">
        <f t="shared" si="32"/>
        <v>25204999.817377575</v>
      </c>
      <c r="H95" s="35">
        <f t="shared" si="33"/>
        <v>0</v>
      </c>
      <c r="I95" s="35">
        <f t="shared" si="34"/>
        <v>0</v>
      </c>
      <c r="J95" s="35">
        <f t="shared" si="35"/>
        <v>-2292326.814822691</v>
      </c>
      <c r="K95" s="35">
        <f t="shared" si="36"/>
        <v>22912673.002554882</v>
      </c>
      <c r="L95" s="35">
        <f t="shared" si="37"/>
        <v>5897869.6346591599</v>
      </c>
      <c r="M95" s="35">
        <f>IF(mtm=FALSE, SUM($G$8:G95), 0)</f>
        <v>0</v>
      </c>
      <c r="N95" s="35">
        <f t="shared" si="47"/>
        <v>0</v>
      </c>
      <c r="O95" s="35">
        <f t="shared" si="48"/>
        <v>0</v>
      </c>
      <c r="P95" s="35">
        <f t="shared" si="49"/>
        <v>0</v>
      </c>
      <c r="Q95" s="35">
        <f t="shared" si="50"/>
        <v>-2292326.814822691</v>
      </c>
      <c r="R95" s="35">
        <f t="shared" si="41"/>
        <v>5897869.6346591599</v>
      </c>
      <c r="S95" s="35">
        <f t="shared" si="51"/>
        <v>-8190196.4494818505</v>
      </c>
      <c r="T95" s="35">
        <f t="shared" si="42"/>
        <v>262469888.58929792</v>
      </c>
      <c r="U95" s="35">
        <f t="shared" si="43"/>
        <v>1000000</v>
      </c>
      <c r="V95" s="35">
        <f t="shared" si="38"/>
        <v>81051310.462682351</v>
      </c>
      <c r="W95" s="35">
        <f t="shared" si="44"/>
        <v>181418578.12661558</v>
      </c>
    </row>
    <row r="96" spans="3:23" x14ac:dyDescent="0.25">
      <c r="C96" s="34" t="str">
        <f t="shared" si="45"/>
        <v/>
      </c>
      <c r="D96" s="35">
        <f t="shared" si="39"/>
        <v>385276425.77991432</v>
      </c>
      <c r="E96" s="35">
        <f t="shared" si="46"/>
        <v>0</v>
      </c>
      <c r="F96" s="35">
        <f t="shared" si="40"/>
        <v>-122806537.1906164</v>
      </c>
      <c r="G96" s="35">
        <f t="shared" si="32"/>
        <v>26969349.804594006</v>
      </c>
      <c r="H96" s="35">
        <f t="shared" si="33"/>
        <v>0</v>
      </c>
      <c r="I96" s="35">
        <f t="shared" si="34"/>
        <v>0</v>
      </c>
      <c r="J96" s="35">
        <f t="shared" si="35"/>
        <v>-2456130.7438123282</v>
      </c>
      <c r="K96" s="35">
        <f t="shared" si="36"/>
        <v>24513219.06078168</v>
      </c>
      <c r="L96" s="35">
        <f t="shared" si="37"/>
        <v>6310810.5176816732</v>
      </c>
      <c r="M96" s="35">
        <f>IF(mtm=FALSE, SUM($G$8:G96), 0)</f>
        <v>0</v>
      </c>
      <c r="N96" s="35">
        <f t="shared" si="47"/>
        <v>0</v>
      </c>
      <c r="O96" s="35">
        <f t="shared" si="48"/>
        <v>0</v>
      </c>
      <c r="P96" s="35">
        <f t="shared" si="49"/>
        <v>0</v>
      </c>
      <c r="Q96" s="35">
        <f t="shared" si="50"/>
        <v>-2456130.7438123282</v>
      </c>
      <c r="R96" s="35">
        <f t="shared" si="41"/>
        <v>6310810.5176816732</v>
      </c>
      <c r="S96" s="35">
        <f t="shared" si="51"/>
        <v>-8766941.2614940014</v>
      </c>
      <c r="T96" s="35">
        <f t="shared" si="42"/>
        <v>280672297.13239795</v>
      </c>
      <c r="U96" s="35">
        <f t="shared" si="43"/>
        <v>1000000</v>
      </c>
      <c r="V96" s="35">
        <f t="shared" si="38"/>
        <v>86694057.111043364</v>
      </c>
      <c r="W96" s="35">
        <f t="shared" si="44"/>
        <v>193978240.02135459</v>
      </c>
    </row>
    <row r="97" spans="3:23" x14ac:dyDescent="0.25">
      <c r="C97" s="34" t="str">
        <f t="shared" si="45"/>
        <v/>
      </c>
      <c r="D97" s="35">
        <f t="shared" si="39"/>
        <v>412245775.5845083</v>
      </c>
      <c r="E97" s="35">
        <f t="shared" si="46"/>
        <v>0</v>
      </c>
      <c r="F97" s="35">
        <f t="shared" si="40"/>
        <v>-131573478.45211039</v>
      </c>
      <c r="G97" s="35">
        <f t="shared" si="32"/>
        <v>28857204.290915582</v>
      </c>
      <c r="H97" s="35">
        <f t="shared" si="33"/>
        <v>0</v>
      </c>
      <c r="I97" s="35">
        <f t="shared" si="34"/>
        <v>0</v>
      </c>
      <c r="J97" s="35">
        <f t="shared" si="35"/>
        <v>-2631469.5690422081</v>
      </c>
      <c r="K97" s="35">
        <f t="shared" si="36"/>
        <v>26225734.721873373</v>
      </c>
      <c r="L97" s="35">
        <f t="shared" si="37"/>
        <v>6752639.5582433306</v>
      </c>
      <c r="M97" s="35">
        <f>IF(mtm=FALSE, SUM($G$8:G97), 0)</f>
        <v>0</v>
      </c>
      <c r="N97" s="35">
        <f t="shared" si="47"/>
        <v>0</v>
      </c>
      <c r="O97" s="35">
        <f t="shared" si="48"/>
        <v>0</v>
      </c>
      <c r="P97" s="35">
        <f t="shared" si="49"/>
        <v>0</v>
      </c>
      <c r="Q97" s="35">
        <f t="shared" si="50"/>
        <v>-2631469.5690422081</v>
      </c>
      <c r="R97" s="35">
        <f t="shared" si="41"/>
        <v>6752639.5582433306</v>
      </c>
      <c r="S97" s="35">
        <f t="shared" si="51"/>
        <v>-9384109.1272855382</v>
      </c>
      <c r="T97" s="35">
        <f t="shared" si="42"/>
        <v>300145392.29602796</v>
      </c>
      <c r="U97" s="35">
        <f t="shared" si="43"/>
        <v>1000000</v>
      </c>
      <c r="V97" s="35">
        <f t="shared" si="38"/>
        <v>92730716.611768663</v>
      </c>
      <c r="W97" s="35">
        <f t="shared" si="44"/>
        <v>207414675.6842593</v>
      </c>
    </row>
    <row r="98" spans="3:23" x14ac:dyDescent="0.25">
      <c r="C98" s="34" t="str">
        <f t="shared" si="45"/>
        <v/>
      </c>
      <c r="D98" s="35">
        <f t="shared" si="39"/>
        <v>441102979.87542391</v>
      </c>
      <c r="E98" s="35">
        <f t="shared" si="46"/>
        <v>0</v>
      </c>
      <c r="F98" s="35">
        <f t="shared" si="40"/>
        <v>-140957587.57939592</v>
      </c>
      <c r="G98" s="35">
        <f t="shared" si="32"/>
        <v>30877208.591279678</v>
      </c>
      <c r="H98" s="35">
        <f t="shared" si="33"/>
        <v>0</v>
      </c>
      <c r="I98" s="35">
        <f t="shared" si="34"/>
        <v>0</v>
      </c>
      <c r="J98" s="35">
        <f t="shared" si="35"/>
        <v>-2819151.7515879185</v>
      </c>
      <c r="K98" s="35">
        <f t="shared" si="36"/>
        <v>28058056.839691758</v>
      </c>
      <c r="L98" s="35">
        <f t="shared" si="37"/>
        <v>7225378.6646404741</v>
      </c>
      <c r="M98" s="35">
        <f>IF(mtm=FALSE, SUM($G$8:G98), 0)</f>
        <v>0</v>
      </c>
      <c r="N98" s="35">
        <f t="shared" si="47"/>
        <v>0</v>
      </c>
      <c r="O98" s="35">
        <f t="shared" si="48"/>
        <v>0</v>
      </c>
      <c r="P98" s="35">
        <f t="shared" si="49"/>
        <v>0</v>
      </c>
      <c r="Q98" s="35">
        <f t="shared" si="50"/>
        <v>-2819151.7515879185</v>
      </c>
      <c r="R98" s="35">
        <f t="shared" si="41"/>
        <v>7225378.6646404741</v>
      </c>
      <c r="S98" s="35">
        <f t="shared" si="51"/>
        <v>-10044530.416228393</v>
      </c>
      <c r="T98" s="35">
        <f t="shared" si="42"/>
        <v>320978070.47107929</v>
      </c>
      <c r="U98" s="35">
        <f t="shared" si="43"/>
        <v>1000000</v>
      </c>
      <c r="V98" s="35">
        <f t="shared" si="38"/>
        <v>99188846.846034586</v>
      </c>
      <c r="W98" s="35">
        <f t="shared" si="44"/>
        <v>221789223.6250447</v>
      </c>
    </row>
    <row r="99" spans="3:23" x14ac:dyDescent="0.25">
      <c r="C99" s="34" t="str">
        <f t="shared" si="45"/>
        <v/>
      </c>
      <c r="D99" s="35">
        <f t="shared" si="39"/>
        <v>471980188.46670359</v>
      </c>
      <c r="E99" s="35">
        <f t="shared" si="46"/>
        <v>0</v>
      </c>
      <c r="F99" s="35">
        <f t="shared" si="40"/>
        <v>-151002117.9956243</v>
      </c>
      <c r="G99" s="35">
        <f t="shared" si="32"/>
        <v>33038613.192669254</v>
      </c>
      <c r="H99" s="35">
        <f t="shared" si="33"/>
        <v>0</v>
      </c>
      <c r="I99" s="35">
        <f t="shared" si="34"/>
        <v>0</v>
      </c>
      <c r="J99" s="35">
        <f t="shared" si="35"/>
        <v>-3020042.3599124863</v>
      </c>
      <c r="K99" s="35">
        <f t="shared" si="36"/>
        <v>30018570.832756769</v>
      </c>
      <c r="L99" s="35">
        <f t="shared" si="37"/>
        <v>7731191.2748512467</v>
      </c>
      <c r="M99" s="35">
        <f>IF(mtm=FALSE, SUM($G$8:G99), 0)</f>
        <v>0</v>
      </c>
      <c r="N99" s="35">
        <f t="shared" si="47"/>
        <v>0</v>
      </c>
      <c r="O99" s="35">
        <f t="shared" si="48"/>
        <v>0</v>
      </c>
      <c r="P99" s="35">
        <f t="shared" si="49"/>
        <v>0</v>
      </c>
      <c r="Q99" s="35">
        <f t="shared" si="50"/>
        <v>-3020042.3599124863</v>
      </c>
      <c r="R99" s="35">
        <f t="shared" si="41"/>
        <v>7731191.2748512467</v>
      </c>
      <c r="S99" s="35">
        <f t="shared" si="51"/>
        <v>-10751233.634763733</v>
      </c>
      <c r="T99" s="35">
        <f t="shared" si="42"/>
        <v>343265450.02898479</v>
      </c>
      <c r="U99" s="35">
        <f t="shared" si="43"/>
        <v>1000000</v>
      </c>
      <c r="V99" s="35">
        <f t="shared" si="38"/>
        <v>106097934.50898528</v>
      </c>
      <c r="W99" s="35">
        <f t="shared" si="44"/>
        <v>237167515.5199995</v>
      </c>
    </row>
    <row r="100" spans="3:23" x14ac:dyDescent="0.25">
      <c r="C100" s="34" t="str">
        <f t="shared" si="45"/>
        <v/>
      </c>
      <c r="D100" s="35">
        <f t="shared" si="39"/>
        <v>505018801.65937287</v>
      </c>
      <c r="E100" s="35">
        <f t="shared" si="46"/>
        <v>0</v>
      </c>
      <c r="F100" s="35">
        <f t="shared" si="40"/>
        <v>-161753351.63038802</v>
      </c>
      <c r="G100" s="35">
        <f t="shared" si="32"/>
        <v>35351316.116156101</v>
      </c>
      <c r="H100" s="35">
        <f t="shared" si="33"/>
        <v>0</v>
      </c>
      <c r="I100" s="35">
        <f t="shared" si="34"/>
        <v>0</v>
      </c>
      <c r="J100" s="35">
        <f t="shared" si="35"/>
        <v>-3235067.0326077603</v>
      </c>
      <c r="K100" s="35">
        <f t="shared" si="36"/>
        <v>32116249.083548341</v>
      </c>
      <c r="L100" s="35">
        <f t="shared" si="37"/>
        <v>8272392.2635554718</v>
      </c>
      <c r="M100" s="35">
        <f>IF(mtm=FALSE, SUM($G$8:G100), 0)</f>
        <v>0</v>
      </c>
      <c r="N100" s="35">
        <f t="shared" si="47"/>
        <v>0</v>
      </c>
      <c r="O100" s="35">
        <f t="shared" si="48"/>
        <v>0</v>
      </c>
      <c r="P100" s="35">
        <f t="shared" si="49"/>
        <v>0</v>
      </c>
      <c r="Q100" s="35">
        <f t="shared" si="50"/>
        <v>-3235067.0326077603</v>
      </c>
      <c r="R100" s="35">
        <f t="shared" si="41"/>
        <v>8272392.2635554718</v>
      </c>
      <c r="S100" s="35">
        <f t="shared" si="51"/>
        <v>-11507459.296163231</v>
      </c>
      <c r="T100" s="35">
        <f t="shared" si="42"/>
        <v>367109306.84897774</v>
      </c>
      <c r="U100" s="35">
        <f t="shared" si="43"/>
        <v>1000000</v>
      </c>
      <c r="V100" s="35">
        <f t="shared" si="38"/>
        <v>113489530.1231831</v>
      </c>
      <c r="W100" s="35">
        <f t="shared" si="44"/>
        <v>253619776.72579464</v>
      </c>
    </row>
    <row r="101" spans="3:23" x14ac:dyDescent="0.25">
      <c r="C101" s="34" t="str">
        <f t="shared" si="45"/>
        <v/>
      </c>
      <c r="D101" s="35">
        <f t="shared" si="39"/>
        <v>540370117.77552891</v>
      </c>
      <c r="E101" s="35">
        <f t="shared" si="46"/>
        <v>0</v>
      </c>
      <c r="F101" s="35">
        <f t="shared" si="40"/>
        <v>-173260810.92655125</v>
      </c>
      <c r="G101" s="35">
        <f t="shared" si="32"/>
        <v>37825908.244287029</v>
      </c>
      <c r="H101" s="35">
        <f t="shared" si="33"/>
        <v>0</v>
      </c>
      <c r="I101" s="35">
        <f t="shared" si="34"/>
        <v>0</v>
      </c>
      <c r="J101" s="35">
        <f t="shared" si="35"/>
        <v>-3465216.2185310251</v>
      </c>
      <c r="K101" s="35">
        <f t="shared" si="36"/>
        <v>34360692.025756001</v>
      </c>
      <c r="L101" s="35">
        <f t="shared" si="37"/>
        <v>8851458.5426450484</v>
      </c>
      <c r="M101" s="35">
        <f>IF(mtm=FALSE, SUM($G$8:G101), 0)</f>
        <v>0</v>
      </c>
      <c r="N101" s="35">
        <f t="shared" si="47"/>
        <v>0</v>
      </c>
      <c r="O101" s="35">
        <f t="shared" si="48"/>
        <v>0</v>
      </c>
      <c r="P101" s="35">
        <f t="shared" si="49"/>
        <v>0</v>
      </c>
      <c r="Q101" s="35">
        <f t="shared" si="50"/>
        <v>-3465216.2185310251</v>
      </c>
      <c r="R101" s="35">
        <f t="shared" si="41"/>
        <v>8851458.5426450484</v>
      </c>
      <c r="S101" s="35">
        <f t="shared" si="51"/>
        <v>-12316674.761176074</v>
      </c>
      <c r="T101" s="35">
        <f t="shared" si="42"/>
        <v>392618540.33208865</v>
      </c>
      <c r="U101" s="35">
        <f t="shared" si="43"/>
        <v>1000000</v>
      </c>
      <c r="V101" s="35">
        <f t="shared" si="38"/>
        <v>121397392.50294748</v>
      </c>
      <c r="W101" s="35">
        <f t="shared" si="44"/>
        <v>271221147.82914114</v>
      </c>
    </row>
    <row r="102" spans="3:23" x14ac:dyDescent="0.25">
      <c r="C102" s="34" t="str">
        <f t="shared" si="45"/>
        <v/>
      </c>
      <c r="D102" s="35">
        <f t="shared" si="39"/>
        <v>578196026.01981592</v>
      </c>
      <c r="E102" s="35">
        <f t="shared" si="46"/>
        <v>0</v>
      </c>
      <c r="F102" s="35">
        <f t="shared" si="40"/>
        <v>-185577485.68772733</v>
      </c>
      <c r="G102" s="35">
        <f t="shared" si="32"/>
        <v>40473721.82138712</v>
      </c>
      <c r="H102" s="35">
        <f t="shared" si="33"/>
        <v>0</v>
      </c>
      <c r="I102" s="35">
        <f t="shared" si="34"/>
        <v>0</v>
      </c>
      <c r="J102" s="35">
        <f t="shared" si="35"/>
        <v>-3711549.7137545468</v>
      </c>
      <c r="K102" s="35">
        <f t="shared" si="36"/>
        <v>36762172.10763257</v>
      </c>
      <c r="L102" s="35">
        <f t="shared" si="37"/>
        <v>9471040.4037692025</v>
      </c>
      <c r="M102" s="35">
        <f>IF(mtm=FALSE, SUM($G$8:G102), 0)</f>
        <v>0</v>
      </c>
      <c r="N102" s="35">
        <f t="shared" si="47"/>
        <v>0</v>
      </c>
      <c r="O102" s="35">
        <f t="shared" si="48"/>
        <v>0</v>
      </c>
      <c r="P102" s="35">
        <f t="shared" si="49"/>
        <v>0</v>
      </c>
      <c r="Q102" s="35">
        <f t="shared" si="50"/>
        <v>-3711549.7137545468</v>
      </c>
      <c r="R102" s="35">
        <f t="shared" si="41"/>
        <v>9471040.4037692025</v>
      </c>
      <c r="S102" s="35">
        <f t="shared" si="51"/>
        <v>-13182590.117523748</v>
      </c>
      <c r="T102" s="35">
        <f t="shared" si="42"/>
        <v>419909672.03595197</v>
      </c>
      <c r="U102" s="35">
        <f t="shared" si="43"/>
        <v>1000000</v>
      </c>
      <c r="V102" s="35">
        <f t="shared" si="38"/>
        <v>129857643.33114511</v>
      </c>
      <c r="W102" s="35">
        <f t="shared" si="44"/>
        <v>290052028.70480686</v>
      </c>
    </row>
    <row r="103" spans="3:23" x14ac:dyDescent="0.25">
      <c r="C103" s="34" t="str">
        <f t="shared" si="45"/>
        <v/>
      </c>
      <c r="D103" s="35">
        <f t="shared" si="39"/>
        <v>618669747.84120309</v>
      </c>
      <c r="E103" s="35">
        <f t="shared" si="46"/>
        <v>0</v>
      </c>
      <c r="F103" s="35">
        <f t="shared" si="40"/>
        <v>-198760075.80525109</v>
      </c>
      <c r="G103" s="35">
        <f t="shared" si="32"/>
        <v>43306882.348884217</v>
      </c>
      <c r="H103" s="35">
        <f t="shared" si="33"/>
        <v>0</v>
      </c>
      <c r="I103" s="35">
        <f t="shared" si="34"/>
        <v>0</v>
      </c>
      <c r="J103" s="35">
        <f t="shared" si="35"/>
        <v>-3975201.5161050218</v>
      </c>
      <c r="K103" s="35">
        <f t="shared" si="36"/>
        <v>39331680.832779199</v>
      </c>
      <c r="L103" s="35">
        <f t="shared" si="37"/>
        <v>10133973.654857034</v>
      </c>
      <c r="M103" s="35">
        <f>IF(mtm=FALSE, SUM($G$8:G103), 0)</f>
        <v>0</v>
      </c>
      <c r="N103" s="35">
        <f t="shared" si="47"/>
        <v>0</v>
      </c>
      <c r="O103" s="35">
        <f t="shared" si="48"/>
        <v>0</v>
      </c>
      <c r="P103" s="35">
        <f t="shared" si="49"/>
        <v>0</v>
      </c>
      <c r="Q103" s="35">
        <f t="shared" si="50"/>
        <v>-3975201.5161050218</v>
      </c>
      <c r="R103" s="35">
        <f t="shared" si="41"/>
        <v>10133973.654857034</v>
      </c>
      <c r="S103" s="35">
        <f t="shared" si="51"/>
        <v>-14109175.170962056</v>
      </c>
      <c r="T103" s="35">
        <f t="shared" si="42"/>
        <v>449107379.21387416</v>
      </c>
      <c r="U103" s="35">
        <f t="shared" si="43"/>
        <v>1000000</v>
      </c>
      <c r="V103" s="35">
        <f t="shared" si="38"/>
        <v>138908932.556301</v>
      </c>
      <c r="W103" s="35">
        <f t="shared" si="44"/>
        <v>310198446.65757316</v>
      </c>
    </row>
    <row r="104" spans="3:23" x14ac:dyDescent="0.25">
      <c r="C104" s="34" t="str">
        <f t="shared" si="45"/>
        <v/>
      </c>
      <c r="D104" s="35">
        <f t="shared" si="39"/>
        <v>661976630.19008732</v>
      </c>
      <c r="E104" s="35">
        <f t="shared" si="46"/>
        <v>0</v>
      </c>
      <c r="F104" s="35">
        <f t="shared" si="40"/>
        <v>-212869250.97621316</v>
      </c>
      <c r="G104" s="35">
        <f t="shared" ref="G104:G109" si="52">D104*growth_rate</f>
        <v>46338364.11330612</v>
      </c>
      <c r="H104" s="35">
        <f t="shared" ref="H104:H109" si="53">D104*dividend</f>
        <v>0</v>
      </c>
      <c r="I104" s="35">
        <f t="shared" ref="I104:I109" si="54">E104/bonds_par*coupon</f>
        <v>0</v>
      </c>
      <c r="J104" s="35">
        <f t="shared" ref="J104:J109" si="55">cash_yield*F104</f>
        <v>-4257385.0195242632</v>
      </c>
      <c r="K104" s="35">
        <f t="shared" ref="K104:K109" si="56">IF(mtm=TRUE, SUM(G104:J104), H104+I104+J104)</f>
        <v>42080979.093781859</v>
      </c>
      <c r="L104" s="35">
        <f t="shared" ref="L104:L109" si="57">IF(K104&lt;vpb_cutover,K104* vpb_1, (K104-vpb_cutover)*vpb_2+vpb_cutover*vpb_1)</f>
        <v>10843292.60619572</v>
      </c>
      <c r="M104" s="35">
        <f>IF(mtm=FALSE, SUM($G$8:G104), 0)</f>
        <v>0</v>
      </c>
      <c r="N104" s="35">
        <f t="shared" si="47"/>
        <v>0</v>
      </c>
      <c r="O104" s="35">
        <f t="shared" si="48"/>
        <v>0</v>
      </c>
      <c r="P104" s="35">
        <f t="shared" si="49"/>
        <v>0</v>
      </c>
      <c r="Q104" s="35">
        <f t="shared" si="50"/>
        <v>-4257385.0195242632</v>
      </c>
      <c r="R104" s="35">
        <f t="shared" si="41"/>
        <v>10843292.60619572</v>
      </c>
      <c r="S104" s="35">
        <f t="shared" si="51"/>
        <v>-15100677.625719983</v>
      </c>
      <c r="T104" s="35">
        <f t="shared" si="42"/>
        <v>480345065.70146024</v>
      </c>
      <c r="U104" s="35">
        <f t="shared" si="43"/>
        <v>1000000</v>
      </c>
      <c r="V104" s="35">
        <f t="shared" ref="V104:V109" si="58">IF((T104-U104)&gt;box2_cutover, (T104-U104-box2_cutover)*box2_2+box2_1*box2_cutover, MAX((T104-U104)*box2_1, 0))</f>
        <v>148592615.36745268</v>
      </c>
      <c r="W104" s="35">
        <f t="shared" si="44"/>
        <v>331752450.33400756</v>
      </c>
    </row>
    <row r="105" spans="3:23" x14ac:dyDescent="0.25">
      <c r="C105" s="34" t="str">
        <f t="shared" si="45"/>
        <v/>
      </c>
      <c r="D105" s="35">
        <f t="shared" si="39"/>
        <v>708314994.30339348</v>
      </c>
      <c r="E105" s="35">
        <f t="shared" si="46"/>
        <v>0</v>
      </c>
      <c r="F105" s="35">
        <f t="shared" si="40"/>
        <v>-227969928.60193315</v>
      </c>
      <c r="G105" s="35">
        <f t="shared" si="52"/>
        <v>49582049.60123755</v>
      </c>
      <c r="H105" s="35">
        <f t="shared" si="53"/>
        <v>0</v>
      </c>
      <c r="I105" s="35">
        <f t="shared" si="54"/>
        <v>0</v>
      </c>
      <c r="J105" s="35">
        <f t="shared" si="55"/>
        <v>-4559398.5720386636</v>
      </c>
      <c r="K105" s="35">
        <f t="shared" si="56"/>
        <v>45022651.029198885</v>
      </c>
      <c r="L105" s="35">
        <f t="shared" si="57"/>
        <v>11602243.965533312</v>
      </c>
      <c r="M105" s="35">
        <f>IF(mtm=FALSE, SUM($G$8:G105), 0)</f>
        <v>0</v>
      </c>
      <c r="N105" s="35">
        <f t="shared" si="47"/>
        <v>0</v>
      </c>
      <c r="O105" s="35">
        <f t="shared" si="48"/>
        <v>0</v>
      </c>
      <c r="P105" s="35">
        <f t="shared" si="49"/>
        <v>0</v>
      </c>
      <c r="Q105" s="35">
        <f t="shared" si="50"/>
        <v>-4559398.5720386636</v>
      </c>
      <c r="R105" s="35">
        <f t="shared" si="41"/>
        <v>11602243.965533312</v>
      </c>
      <c r="S105" s="35">
        <f t="shared" si="51"/>
        <v>-16161642.537571976</v>
      </c>
      <c r="T105" s="35">
        <f t="shared" si="42"/>
        <v>513765472.76512593</v>
      </c>
      <c r="U105" s="35">
        <f t="shared" si="43"/>
        <v>1000000</v>
      </c>
      <c r="V105" s="35">
        <f t="shared" si="58"/>
        <v>158952941.55718905</v>
      </c>
      <c r="W105" s="35">
        <f t="shared" si="44"/>
        <v>354812531.20793688</v>
      </c>
    </row>
    <row r="106" spans="3:23" x14ac:dyDescent="0.25">
      <c r="C106" s="34" t="str">
        <f t="shared" si="45"/>
        <v/>
      </c>
      <c r="D106" s="35">
        <f t="shared" si="39"/>
        <v>757897043.90463102</v>
      </c>
      <c r="E106" s="35">
        <f t="shared" si="46"/>
        <v>0</v>
      </c>
      <c r="F106" s="35">
        <f t="shared" si="40"/>
        <v>-244131571.13950512</v>
      </c>
      <c r="G106" s="35">
        <f t="shared" si="52"/>
        <v>53052793.073324174</v>
      </c>
      <c r="H106" s="35">
        <f t="shared" si="53"/>
        <v>0</v>
      </c>
      <c r="I106" s="35">
        <f t="shared" si="54"/>
        <v>0</v>
      </c>
      <c r="J106" s="35">
        <f t="shared" si="55"/>
        <v>-4882631.4227901027</v>
      </c>
      <c r="K106" s="35">
        <f t="shared" si="56"/>
        <v>48170161.650534071</v>
      </c>
      <c r="L106" s="35">
        <f t="shared" si="57"/>
        <v>12414301.70583779</v>
      </c>
      <c r="M106" s="35">
        <f>IF(mtm=FALSE, SUM($G$8:G106), 0)</f>
        <v>0</v>
      </c>
      <c r="N106" s="35">
        <f t="shared" si="47"/>
        <v>0</v>
      </c>
      <c r="O106" s="35">
        <f t="shared" si="48"/>
        <v>0</v>
      </c>
      <c r="P106" s="35">
        <f t="shared" si="49"/>
        <v>0</v>
      </c>
      <c r="Q106" s="35">
        <f t="shared" si="50"/>
        <v>-4882631.4227901027</v>
      </c>
      <c r="R106" s="35">
        <f t="shared" si="41"/>
        <v>12414301.70583779</v>
      </c>
      <c r="S106" s="35">
        <f t="shared" si="51"/>
        <v>-17296933.128627893</v>
      </c>
      <c r="T106" s="35">
        <f t="shared" si="42"/>
        <v>549521332.70982218</v>
      </c>
      <c r="U106" s="35">
        <f t="shared" si="43"/>
        <v>1000000</v>
      </c>
      <c r="V106" s="35">
        <f t="shared" si="58"/>
        <v>170037258.14004487</v>
      </c>
      <c r="W106" s="35">
        <f t="shared" si="44"/>
        <v>379484074.56977731</v>
      </c>
    </row>
    <row r="107" spans="3:23" x14ac:dyDescent="0.25">
      <c r="C107" s="34" t="str">
        <f t="shared" si="45"/>
        <v/>
      </c>
      <c r="D107" s="35">
        <f t="shared" si="39"/>
        <v>810949836.97795522</v>
      </c>
      <c r="E107" s="35">
        <f t="shared" si="46"/>
        <v>0</v>
      </c>
      <c r="F107" s="35">
        <f t="shared" si="40"/>
        <v>-261428504.26813301</v>
      </c>
      <c r="G107" s="35">
        <f t="shared" si="52"/>
        <v>56766488.588456869</v>
      </c>
      <c r="H107" s="35">
        <f t="shared" si="53"/>
        <v>0</v>
      </c>
      <c r="I107" s="35">
        <f t="shared" si="54"/>
        <v>0</v>
      </c>
      <c r="J107" s="35">
        <f t="shared" si="55"/>
        <v>-5228570.0853626607</v>
      </c>
      <c r="K107" s="35">
        <f t="shared" si="56"/>
        <v>51537918.503094211</v>
      </c>
      <c r="L107" s="35">
        <f t="shared" si="57"/>
        <v>13283182.973798307</v>
      </c>
      <c r="M107" s="35">
        <f>IF(mtm=FALSE, SUM($G$8:G107), 0)</f>
        <v>0</v>
      </c>
      <c r="N107" s="35">
        <f t="shared" si="47"/>
        <v>0</v>
      </c>
      <c r="O107" s="35">
        <f t="shared" si="48"/>
        <v>0</v>
      </c>
      <c r="P107" s="35">
        <f t="shared" si="49"/>
        <v>0</v>
      </c>
      <c r="Q107" s="35">
        <f t="shared" si="50"/>
        <v>-5228570.0853626607</v>
      </c>
      <c r="R107" s="35">
        <f t="shared" si="41"/>
        <v>13283182.973798307</v>
      </c>
      <c r="S107" s="35">
        <f t="shared" si="51"/>
        <v>-18511753.059160966</v>
      </c>
      <c r="T107" s="35">
        <f t="shared" si="42"/>
        <v>587776068.2391181</v>
      </c>
      <c r="U107" s="35">
        <f t="shared" si="43"/>
        <v>1000000</v>
      </c>
      <c r="V107" s="35">
        <f t="shared" si="58"/>
        <v>181896226.15412661</v>
      </c>
      <c r="W107" s="35">
        <f t="shared" si="44"/>
        <v>405879842.08499146</v>
      </c>
    </row>
    <row r="108" spans="3:23" x14ac:dyDescent="0.25">
      <c r="C108" s="34" t="str">
        <f t="shared" si="45"/>
        <v/>
      </c>
      <c r="D108" s="35">
        <f t="shared" si="39"/>
        <v>867716325.56641209</v>
      </c>
      <c r="E108" s="35">
        <f t="shared" si="46"/>
        <v>0</v>
      </c>
      <c r="F108" s="35">
        <f t="shared" si="40"/>
        <v>-279940257.32729399</v>
      </c>
      <c r="G108" s="35">
        <f t="shared" si="52"/>
        <v>60740142.789648853</v>
      </c>
      <c r="H108" s="35">
        <f t="shared" si="53"/>
        <v>0</v>
      </c>
      <c r="I108" s="35">
        <f t="shared" si="54"/>
        <v>0</v>
      </c>
      <c r="J108" s="35">
        <f t="shared" si="55"/>
        <v>-5598805.1465458795</v>
      </c>
      <c r="K108" s="35">
        <f t="shared" si="56"/>
        <v>55141337.643102974</v>
      </c>
      <c r="L108" s="35">
        <f t="shared" si="57"/>
        <v>14212865.111920567</v>
      </c>
      <c r="M108" s="35">
        <f>IF(mtm=FALSE, SUM($G$8:G108), 0)</f>
        <v>0</v>
      </c>
      <c r="N108" s="35">
        <f t="shared" si="47"/>
        <v>0</v>
      </c>
      <c r="O108" s="35">
        <f t="shared" si="48"/>
        <v>0</v>
      </c>
      <c r="P108" s="35">
        <f t="shared" si="49"/>
        <v>0</v>
      </c>
      <c r="Q108" s="35">
        <f t="shared" si="50"/>
        <v>-5598805.1465458795</v>
      </c>
      <c r="R108" s="35">
        <f t="shared" si="41"/>
        <v>14212865.111920567</v>
      </c>
      <c r="S108" s="35">
        <f t="shared" si="51"/>
        <v>-19811670.258466445</v>
      </c>
      <c r="T108" s="35">
        <f t="shared" si="42"/>
        <v>628704540.77030051</v>
      </c>
      <c r="U108" s="35">
        <f t="shared" si="43"/>
        <v>1000000</v>
      </c>
      <c r="V108" s="35">
        <f t="shared" si="58"/>
        <v>194584052.63879317</v>
      </c>
      <c r="W108" s="35">
        <f t="shared" si="44"/>
        <v>434120488.13150734</v>
      </c>
    </row>
    <row r="109" spans="3:23" x14ac:dyDescent="0.25">
      <c r="C109" s="34" t="str">
        <f t="shared" si="45"/>
        <v/>
      </c>
      <c r="D109" s="35">
        <f t="shared" si="39"/>
        <v>928456468.35606098</v>
      </c>
      <c r="E109" s="35">
        <f t="shared" si="46"/>
        <v>0</v>
      </c>
      <c r="F109" s="35">
        <f t="shared" si="40"/>
        <v>-299751927.58576041</v>
      </c>
      <c r="G109" s="35">
        <f t="shared" si="52"/>
        <v>64991952.784924276</v>
      </c>
      <c r="H109" s="35">
        <f t="shared" si="53"/>
        <v>0</v>
      </c>
      <c r="I109" s="35">
        <f t="shared" si="54"/>
        <v>0</v>
      </c>
      <c r="J109" s="35">
        <f t="shared" si="55"/>
        <v>-5995038.5517152082</v>
      </c>
      <c r="K109" s="35">
        <f t="shared" si="56"/>
        <v>58996914.233209066</v>
      </c>
      <c r="L109" s="35">
        <f t="shared" si="57"/>
        <v>15207603.872167939</v>
      </c>
      <c r="M109" s="35">
        <f>IF(mtm=FALSE, SUM($G$8:G109), 0)</f>
        <v>0</v>
      </c>
      <c r="N109" s="35">
        <f t="shared" si="47"/>
        <v>0</v>
      </c>
      <c r="O109" s="35">
        <f t="shared" si="48"/>
        <v>0</v>
      </c>
      <c r="P109" s="35">
        <f t="shared" si="49"/>
        <v>0</v>
      </c>
      <c r="Q109" s="35">
        <f t="shared" si="50"/>
        <v>-5995038.5517152082</v>
      </c>
      <c r="R109" s="35">
        <f t="shared" si="41"/>
        <v>15207603.872167939</v>
      </c>
      <c r="S109" s="35">
        <f t="shared" si="51"/>
        <v>-21202642.423883148</v>
      </c>
      <c r="T109" s="35">
        <f t="shared" si="42"/>
        <v>672493851.1313417</v>
      </c>
      <c r="U109" s="35">
        <f t="shared" si="43"/>
        <v>1000000</v>
      </c>
      <c r="V109" s="35">
        <f t="shared" si="58"/>
        <v>208158738.85071594</v>
      </c>
      <c r="W109" s="35">
        <f t="shared" si="44"/>
        <v>464335112.28062576</v>
      </c>
    </row>
    <row r="110" spans="3:23" x14ac:dyDescent="0.25">
      <c r="C110" s="34"/>
    </row>
    <row r="111" spans="3:23" x14ac:dyDescent="0.25">
      <c r="C111" s="3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31</vt:i4>
      </vt:variant>
    </vt:vector>
  </HeadingPairs>
  <TitlesOfParts>
    <vt:vector size="36" baseType="lpstr">
      <vt:lpstr>Parameters</vt:lpstr>
      <vt:lpstr>Box 3 model -&gt;&gt;&gt;</vt:lpstr>
      <vt:lpstr>Box_3</vt:lpstr>
      <vt:lpstr>Box 2 model -&gt;&gt;&gt;</vt:lpstr>
      <vt:lpstr>BV en Box 2</vt:lpstr>
      <vt:lpstr>b3_cash_fiction</vt:lpstr>
      <vt:lpstr>b3_current_franchise</vt:lpstr>
      <vt:lpstr>b3_fiction</vt:lpstr>
      <vt:lpstr>b3_future_franchise</vt:lpstr>
      <vt:lpstr>b3_rate_current</vt:lpstr>
      <vt:lpstr>b3_rate_future</vt:lpstr>
      <vt:lpstr>bonds_par</vt:lpstr>
      <vt:lpstr>bonds_start</vt:lpstr>
      <vt:lpstr>box2_1</vt:lpstr>
      <vt:lpstr>box2_2</vt:lpstr>
      <vt:lpstr>box2_cutover</vt:lpstr>
      <vt:lpstr>cash_start</vt:lpstr>
      <vt:lpstr>cash_yield</vt:lpstr>
      <vt:lpstr>coupon</vt:lpstr>
      <vt:lpstr>dividend</vt:lpstr>
      <vt:lpstr>draw_down</vt:lpstr>
      <vt:lpstr>draw_down_date</vt:lpstr>
      <vt:lpstr>equity_start</vt:lpstr>
      <vt:lpstr>growth_rate</vt:lpstr>
      <vt:lpstr>hoelang</vt:lpstr>
      <vt:lpstr>inflation</vt:lpstr>
      <vt:lpstr>mtm</vt:lpstr>
      <vt:lpstr>prop_start</vt:lpstr>
      <vt:lpstr>prop_yield</vt:lpstr>
      <vt:lpstr>regime_change</vt:lpstr>
      <vt:lpstr>reinvest_bonds</vt:lpstr>
      <vt:lpstr>reinvest_equity</vt:lpstr>
      <vt:lpstr>reinvestment_mix</vt:lpstr>
      <vt:lpstr>vpb_1</vt:lpstr>
      <vt:lpstr>vpb_2</vt:lpstr>
      <vt:lpstr>vpb_cutover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Vanderlinde, Arjan (GE Aerospace)</dc:creator>
  <cp:lastModifiedBy>Vanderlinde, Arjan (GE Aerospace)</cp:lastModifiedBy>
  <dcterms:created xsi:type="dcterms:W3CDTF">2024-06-21T06:51:38Z</dcterms:created>
  <dcterms:modified xsi:type="dcterms:W3CDTF">2025-12-29T08:34:38Z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tart" linkTarget="prop_start">
    <vt:r8>0</vt:r8>
  </property>
  <property fmtid="{D5CDD505-2E9C-101B-9397-08002B2CF9AE}" pid="3" name="yield" linkTarget="prop_yield">
    <vt:r8>0.096</vt:r8>
  </property>
  <property fmtid="{D5CDD505-2E9C-101B-9397-08002B2CF9AE}" pid="4" name="MSIP_Label_93b68801-e10f-48d9-9ed4-5d8b7b3ccbcf_Enabled">
    <vt:lpwstr>true</vt:lpwstr>
  </property>
  <property fmtid="{D5CDD505-2E9C-101B-9397-08002B2CF9AE}" pid="5" name="MSIP_Label_93b68801-e10f-48d9-9ed4-5d8b7b3ccbcf_SetDate">
    <vt:lpwstr>2025-03-25T10:09:24Z</vt:lpwstr>
  </property>
  <property fmtid="{D5CDD505-2E9C-101B-9397-08002B2CF9AE}" pid="6" name="MSIP_Label_93b68801-e10f-48d9-9ed4-5d8b7b3ccbcf_Method">
    <vt:lpwstr>Standard</vt:lpwstr>
  </property>
  <property fmtid="{D5CDD505-2E9C-101B-9397-08002B2CF9AE}" pid="7" name="MSIP_Label_93b68801-e10f-48d9-9ed4-5d8b7b3ccbcf_Name">
    <vt:lpwstr>GE Aerospace - Sensitive</vt:lpwstr>
  </property>
  <property fmtid="{D5CDD505-2E9C-101B-9397-08002B2CF9AE}" pid="8" name="MSIP_Label_93b68801-e10f-48d9-9ed4-5d8b7b3ccbcf_SiteId">
    <vt:lpwstr>86b871ed-f0e7-4126-9bf4-5ee5cf19e256</vt:lpwstr>
  </property>
  <property fmtid="{D5CDD505-2E9C-101B-9397-08002B2CF9AE}" pid="9" name="MSIP_Label_93b68801-e10f-48d9-9ed4-5d8b7b3ccbcf_ActionId">
    <vt:lpwstr>ea8c1c60-d243-4438-9259-23fcf2554627</vt:lpwstr>
  </property>
  <property fmtid="{D5CDD505-2E9C-101B-9397-08002B2CF9AE}" pid="10" name="MSIP_Label_93b68801-e10f-48d9-9ed4-5d8b7b3ccbcf_ContentBits">
    <vt:lpwstr>0</vt:lpwstr>
  </property>
</Properties>
</file>